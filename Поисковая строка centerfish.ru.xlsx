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28FB5123-6744-478A-8B14-6EDD300D8D6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2" l="1"/>
  <c r="H2" i="2"/>
  <c r="E18" i="2"/>
  <c r="E17" i="2"/>
  <c r="C3" i="3"/>
  <c r="D3" i="3"/>
  <c r="C2" i="3"/>
  <c r="D2" i="3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<sst xmlns="http://schemas.openxmlformats.org/spreadsheetml/2006/main" count="257" uniqueCount="120">
  <si>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</si>
  <si>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</si>
  <si>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</si>
  <si>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</si>
  <si>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</si>
  <si>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</si>
  <si>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</si>
  <si>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</si>
  <si>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</si>
  <si>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</si>
  <si>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</si>
  <si>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</si>
  <si>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</si>
  <si>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</si>
  <si>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</si>
  <si>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</si>
  <si>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</si>
  <si>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</si>
  <si>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</si>
  <si>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</si>
  <si>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</si>
  <si>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</si>
  <si>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</si>
  <si>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</si>
  <si>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</si>
  <si>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</si>
  <si>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Поисковая строка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</si>
  <si>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</si>
  <si>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</si>
  <si>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</si>
  <si>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</si>
  <si>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</si>
  <si>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</si>
  <si>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</si>
  <si>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</si>
  <si>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</si>
  <si>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</si>
  <si>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</si>
  <si>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</si>
  <si>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</si>
  <si>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</si>
  <si>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</si>
  <si>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</si>
  <si>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</si>
  <si>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</si>
  <si>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</si>
  <si>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</si>
  <si>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</si>
  <si>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по категории товара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</si>
  <si>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</si>
  <si>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</si>
  <si>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несуществующего товара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</si>
  <si>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</si>
  <si>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</si>
  <si>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</si>
  <si>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</si>
  <si>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</si>
  <si>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</si>
  <si>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</si>
  <si>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</si>
  <si>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Система выдала страницу с сообщением «По вашему запросу ничего не найдено»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</si>
  <si>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</si>
  <si>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</si>
  <si>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б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</si>
  <si>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</si>
  <si>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</si>
  <si>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</si>
  <si>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</si>
  <si>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Проверить наличие названия товара</t>
  </si>
  <si>
    <t>Проверить наличие цены</t>
  </si>
  <si>
    <t>Отображается страница с результатами</t>
  </si>
  <si>
    <t>Система выдала страницу со всеми товарами</t>
  </si>
  <si>
    <t>Ввести в поисковую строку: "&lt;script&gt;alert(1)&lt;/script&gt;"</t>
  </si>
  <si>
    <t>Ввести в поисковую строку: Приман</t>
  </si>
  <si>
    <t>Система выдала страницу с результатами, содержащими товары с подстрокой «Приман»</t>
  </si>
  <si>
    <t>Ввести в поисковую строку: Buster Jerk</t>
  </si>
  <si>
    <t>Поисковая строка: Поиск по артикулу/модели (латиница)</t>
  </si>
  <si>
    <t>Ввести в поисковую строку: Спиннинг</t>
  </si>
  <si>
    <t>Система выдала страницу с товарами категории «Спиннинги»</t>
  </si>
  <si>
    <t>Поисковая строка: Поиск с цифрами в запросе</t>
  </si>
  <si>
    <t>Ввести в поисковую строку: 7-28</t>
  </si>
  <si>
    <t>Система выдала страницу с товарами с характеристикой 7-28 г (например, спиннинг Maximus BUTCHER-X)</t>
  </si>
  <si>
    <t>Поисковая строка: Поиск со специальными символами</t>
  </si>
  <si>
    <t>Система корректно обрабатывает запрос, ошибка сервера не возникает</t>
  </si>
  <si>
    <t>Ввести в поисковую строку: СПИННИНГ</t>
  </si>
  <si>
    <t>Название отображается корректно</t>
  </si>
  <si>
    <t>Цена отображается корректно (например, 353,60 ₽)</t>
  </si>
  <si>
    <t>Поисковая строка: Поиск с смешанным регистром и раскладкой</t>
  </si>
  <si>
    <t>Ввести в поисковую строку: Buster jerk</t>
  </si>
  <si>
    <t>Система выдала страницу с товаром «Джерк Бейт Buster Jerk», игнорируя регистр</t>
  </si>
  <si>
    <t>Поисковая строка: Поиск по бренду</t>
  </si>
  <si>
    <t>Ввести в поисковую строку: Maximus</t>
  </si>
  <si>
    <t>Система выдала страницу с товарами бренда Maximus (например, спиннинг Maximus BUTCHER-X)</t>
  </si>
  <si>
    <t>Ввести в поисковую строку: Приманка Larva</t>
  </si>
  <si>
    <t>Система выдала страницу с результатами, содержащими товар «Приманка типа Larva»</t>
  </si>
  <si>
    <t>BR-001</t>
  </si>
  <si>
    <t>Major</t>
  </si>
  <si>
    <t>Windows 10/ Yandex Версия
26.8.2.1064 (64-bit)</t>
  </si>
  <si>
    <t>Система выдала страницу с товаром «Джерк Бейт Buster Jerk»</t>
  </si>
  <si>
    <t>Система игнорирует пробелы и показывает страницу со всеми товарами</t>
  </si>
  <si>
    <t>Ввести в поисковую строку: суперспиннинг</t>
  </si>
  <si>
    <t>Система выполняет поиск по букве</t>
  </si>
  <si>
    <t>False</t>
  </si>
  <si>
    <t>Выданные товары не соответствуют запрашиваемому типу Larva («личинка»)</t>
  </si>
  <si>
    <t>Выданные товары не соответствуют запрашиваемому типу Larva («личинка»), выдает все типы приманок</t>
  </si>
  <si>
    <t>Medium</t>
  </si>
  <si>
    <t>https://prnt.sc/awsxDLdfozkS</t>
  </si>
  <si>
    <t>Система выполнила скрипт и показала подходящие товары</t>
  </si>
  <si>
    <t>https://prnt.sc/BT8IExUHOGbM</t>
  </si>
  <si>
    <t>TC-016</t>
  </si>
  <si>
    <t>TC-017</t>
  </si>
  <si>
    <t>Поисковая строка: Поиск по синониму категории (спиннинг / удилище)</t>
  </si>
  <si>
    <t>Ввести в поисковую строку: Удилище</t>
  </si>
  <si>
    <t>Система выдала страницу с товарами категории «Спиннинги» (синоним «Удилище»)</t>
  </si>
  <si>
    <t>Поисковая строка: Поиск по синониму категории (приманка / блесна)</t>
  </si>
  <si>
    <t>Ввести в поисковую строку: Блесна</t>
  </si>
  <si>
    <t>Система выдала страницу с товарами категории «Приманки» (синоним «Блесна»)</t>
  </si>
  <si>
    <t>BR-002</t>
  </si>
  <si>
    <t>Critical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</si>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</sst>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/>
    </xf>
    <xf numFmtId="0" fontId="3" fillId="0" borderId="23" xfId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46" zoomScale="70" zoomScaleNormal="70" workbookViewId="0">
      <selection activeCell="M50" sqref="M50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2.25" customHeight="1" x14ac:dyDescent="0.25">
      <c r="A2" s="37" t="s">
        <v>25</v>
      </c>
      <c r="B2" s="31" t="s">
        <v>26</v>
      </c>
      <c r="C2" s="31" t="s">
        <v>24</v>
      </c>
      <c r="D2" s="11" t="s">
        <v>30</v>
      </c>
      <c r="E2" s="11" t="s">
        <v>31</v>
      </c>
      <c r="F2" s="31" t="s">
        <v>28</v>
      </c>
      <c r="G2" s="34" t="s">
        <v>119</v>
      </c>
    </row>
    <row r="3" spans="1:7" ht="95.25" customHeight="1" x14ac:dyDescent="0.25">
      <c r="A3" s="38"/>
      <c r="B3" s="32"/>
      <c r="C3" s="32"/>
      <c r="D3" s="10" t="s">
        <v>93</v>
      </c>
      <c r="E3" s="10" t="s">
        <v>32</v>
      </c>
      <c r="F3" s="32"/>
      <c r="G3" s="35"/>
    </row>
    <row r="4" spans="1:7" ht="122.25" customHeight="1" thickBot="1" x14ac:dyDescent="0.3">
      <c r="A4" s="39"/>
      <c r="B4" s="33"/>
      <c r="C4" s="33"/>
      <c r="D4" s="12" t="s">
        <v>27</v>
      </c>
      <c r="E4" s="13" t="s">
        <v>94</v>
      </c>
      <c r="F4" s="33"/>
      <c r="G4" s="36"/>
    </row>
    <row r="5" spans="1:7" ht="75.75" customHeight="1" x14ac:dyDescent="0.25">
      <c r="A5" s="28" t="s">
        <v>33</v>
      </c>
      <c r="B5" s="31" t="s">
        <v>34</v>
      </c>
      <c r="C5" s="31" t="s">
        <v>24</v>
      </c>
      <c r="D5" s="11" t="s">
        <v>30</v>
      </c>
      <c r="E5" s="11" t="s">
        <v>31</v>
      </c>
      <c r="F5" s="31" t="s">
        <v>28</v>
      </c>
      <c r="G5" s="34" t="s">
        <v>119</v>
      </c>
    </row>
    <row r="6" spans="1:7" ht="54.75" customHeight="1" x14ac:dyDescent="0.25">
      <c r="A6" s="29"/>
      <c r="B6" s="32"/>
      <c r="C6" s="32"/>
      <c r="D6" s="10" t="s">
        <v>73</v>
      </c>
      <c r="E6" s="10" t="s">
        <v>32</v>
      </c>
      <c r="F6" s="32"/>
      <c r="G6" s="35"/>
    </row>
    <row r="7" spans="1:7" ht="96.75" customHeight="1" thickBot="1" x14ac:dyDescent="0.3">
      <c r="A7" s="30"/>
      <c r="B7" s="33"/>
      <c r="C7" s="33"/>
      <c r="D7" s="12" t="s">
        <v>27</v>
      </c>
      <c r="E7" s="13" t="s">
        <v>74</v>
      </c>
      <c r="F7" s="33"/>
      <c r="G7" s="36"/>
    </row>
    <row r="8" spans="1:7" ht="45" x14ac:dyDescent="0.25">
      <c r="A8" s="28" t="s">
        <v>35</v>
      </c>
      <c r="B8" s="31" t="s">
        <v>76</v>
      </c>
      <c r="C8" s="31" t="s">
        <v>24</v>
      </c>
      <c r="D8" s="11" t="s">
        <v>30</v>
      </c>
      <c r="E8" s="11" t="s">
        <v>31</v>
      </c>
      <c r="F8" s="31" t="s">
        <v>28</v>
      </c>
      <c r="G8" s="34" t="s">
        <v>119</v>
      </c>
    </row>
    <row r="9" spans="1:7" ht="47.25" x14ac:dyDescent="0.25">
      <c r="A9" s="29"/>
      <c r="B9" s="32"/>
      <c r="C9" s="32"/>
      <c r="D9" s="10" t="s">
        <v>75</v>
      </c>
      <c r="E9" s="10" t="s">
        <v>32</v>
      </c>
      <c r="F9" s="32"/>
      <c r="G9" s="35"/>
    </row>
    <row r="10" spans="1:7" ht="77.25" customHeight="1" thickBot="1" x14ac:dyDescent="0.3">
      <c r="A10" s="30"/>
      <c r="B10" s="33"/>
      <c r="C10" s="33"/>
      <c r="D10" s="12" t="s">
        <v>27</v>
      </c>
      <c r="E10" s="13" t="s">
        <v>98</v>
      </c>
      <c r="F10" s="33"/>
      <c r="G10" s="36"/>
    </row>
    <row r="11" spans="1:7" ht="45" x14ac:dyDescent="0.25">
      <c r="A11" s="28" t="s">
        <v>36</v>
      </c>
      <c r="B11" s="31" t="s">
        <v>48</v>
      </c>
      <c r="C11" s="31" t="s">
        <v>24</v>
      </c>
      <c r="D11" s="11" t="s">
        <v>30</v>
      </c>
      <c r="E11" s="11" t="s">
        <v>31</v>
      </c>
      <c r="F11" s="31" t="s">
        <v>28</v>
      </c>
      <c r="G11" s="34" t="s">
        <v>119</v>
      </c>
    </row>
    <row r="12" spans="1:7" ht="47.25" x14ac:dyDescent="0.25">
      <c r="A12" s="29"/>
      <c r="B12" s="32"/>
      <c r="C12" s="32"/>
      <c r="D12" s="10" t="s">
        <v>77</v>
      </c>
      <c r="E12" s="10" t="s">
        <v>32</v>
      </c>
      <c r="F12" s="32"/>
      <c r="G12" s="35"/>
    </row>
    <row r="13" spans="1:7" ht="60.75" thickBot="1" x14ac:dyDescent="0.3">
      <c r="A13" s="30"/>
      <c r="B13" s="33"/>
      <c r="C13" s="33"/>
      <c r="D13" s="12" t="s">
        <v>27</v>
      </c>
      <c r="E13" s="13" t="s">
        <v>78</v>
      </c>
      <c r="F13" s="33"/>
      <c r="G13" s="36"/>
    </row>
    <row r="14" spans="1:7" ht="45" x14ac:dyDescent="0.25">
      <c r="A14" s="28" t="s">
        <v>37</v>
      </c>
      <c r="B14" s="31" t="s">
        <v>79</v>
      </c>
      <c r="C14" s="31" t="s">
        <v>24</v>
      </c>
      <c r="D14" s="11" t="s">
        <v>30</v>
      </c>
      <c r="E14" s="11" t="s">
        <v>31</v>
      </c>
      <c r="F14" s="31" t="s">
        <v>28</v>
      </c>
      <c r="G14" s="34" t="s">
        <v>119</v>
      </c>
    </row>
    <row r="15" spans="1:7" ht="47.25" x14ac:dyDescent="0.25">
      <c r="A15" s="29"/>
      <c r="B15" s="32"/>
      <c r="C15" s="32"/>
      <c r="D15" s="10" t="s">
        <v>80</v>
      </c>
      <c r="E15" s="10" t="s">
        <v>32</v>
      </c>
      <c r="F15" s="32"/>
      <c r="G15" s="35"/>
    </row>
    <row r="16" spans="1:7" ht="90.75" thickBot="1" x14ac:dyDescent="0.3">
      <c r="A16" s="30"/>
      <c r="B16" s="33"/>
      <c r="C16" s="33"/>
      <c r="D16" s="12" t="s">
        <v>27</v>
      </c>
      <c r="E16" s="13" t="s">
        <v>81</v>
      </c>
      <c r="F16" s="33"/>
      <c r="G16" s="36"/>
    </row>
    <row r="17" spans="1:7" ht="45" x14ac:dyDescent="0.25">
      <c r="A17" s="28" t="s">
        <v>38</v>
      </c>
      <c r="B17" s="31" t="s">
        <v>49</v>
      </c>
      <c r="C17" s="31" t="s">
        <v>24</v>
      </c>
      <c r="D17" s="11" t="s">
        <v>30</v>
      </c>
      <c r="E17" s="11" t="s">
        <v>31</v>
      </c>
      <c r="F17" s="31" t="s">
        <v>28</v>
      </c>
      <c r="G17" s="34" t="s">
        <v>119</v>
      </c>
    </row>
    <row r="18" spans="1:7" ht="31.5" x14ac:dyDescent="0.25">
      <c r="A18" s="29"/>
      <c r="B18" s="32"/>
      <c r="C18" s="32"/>
      <c r="D18" s="10" t="s">
        <v>56</v>
      </c>
      <c r="E18" s="10" t="s">
        <v>57</v>
      </c>
      <c r="F18" s="32"/>
      <c r="G18" s="35"/>
    </row>
    <row r="19" spans="1:7" ht="45.75" thickBot="1" x14ac:dyDescent="0.3">
      <c r="A19" s="30"/>
      <c r="B19" s="33"/>
      <c r="C19" s="33"/>
      <c r="D19" s="12" t="s">
        <v>27</v>
      </c>
      <c r="E19" s="13" t="s">
        <v>71</v>
      </c>
      <c r="F19" s="33"/>
      <c r="G19" s="36"/>
    </row>
    <row r="20" spans="1:7" ht="60" customHeight="1" x14ac:dyDescent="0.25">
      <c r="A20" s="28" t="s">
        <v>39</v>
      </c>
      <c r="B20" s="31" t="s">
        <v>50</v>
      </c>
      <c r="C20" s="31" t="s">
        <v>24</v>
      </c>
      <c r="D20" s="11" t="s">
        <v>30</v>
      </c>
      <c r="E20" s="11" t="s">
        <v>31</v>
      </c>
      <c r="F20" s="31" t="s">
        <v>28</v>
      </c>
      <c r="G20" s="34" t="s">
        <v>119</v>
      </c>
    </row>
    <row r="21" spans="1:7" ht="45.75" customHeight="1" x14ac:dyDescent="0.25">
      <c r="A21" s="29"/>
      <c r="B21" s="32"/>
      <c r="C21" s="32"/>
      <c r="D21" s="10" t="s">
        <v>58</v>
      </c>
      <c r="E21" s="10" t="s">
        <v>59</v>
      </c>
      <c r="F21" s="32"/>
      <c r="G21" s="35"/>
    </row>
    <row r="22" spans="1:7" ht="60.75" thickBot="1" x14ac:dyDescent="0.3">
      <c r="A22" s="30"/>
      <c r="B22" s="33"/>
      <c r="C22" s="33"/>
      <c r="D22" s="12" t="s">
        <v>27</v>
      </c>
      <c r="E22" s="13" t="s">
        <v>99</v>
      </c>
      <c r="F22" s="33"/>
      <c r="G22" s="36"/>
    </row>
    <row r="23" spans="1:7" ht="45" x14ac:dyDescent="0.25">
      <c r="A23" s="28" t="s">
        <v>40</v>
      </c>
      <c r="B23" s="31" t="s">
        <v>51</v>
      </c>
      <c r="C23" s="31" t="s">
        <v>24</v>
      </c>
      <c r="D23" s="11" t="s">
        <v>30</v>
      </c>
      <c r="E23" s="11" t="s">
        <v>31</v>
      </c>
      <c r="F23" s="31" t="s">
        <v>28</v>
      </c>
      <c r="G23" s="34" t="s">
        <v>119</v>
      </c>
    </row>
    <row r="24" spans="1:7" ht="47.25" customHeight="1" x14ac:dyDescent="0.25">
      <c r="A24" s="29"/>
      <c r="B24" s="32"/>
      <c r="C24" s="32"/>
      <c r="D24" s="10" t="s">
        <v>100</v>
      </c>
      <c r="E24" s="10" t="s">
        <v>32</v>
      </c>
      <c r="F24" s="32"/>
      <c r="G24" s="35"/>
    </row>
    <row r="25" spans="1:7" ht="75.75" thickBot="1" x14ac:dyDescent="0.3">
      <c r="A25" s="30"/>
      <c r="B25" s="33"/>
      <c r="C25" s="33"/>
      <c r="D25" s="12" t="s">
        <v>27</v>
      </c>
      <c r="E25" s="13" t="s">
        <v>60</v>
      </c>
      <c r="F25" s="33"/>
      <c r="G25" s="36"/>
    </row>
    <row r="26" spans="1:7" ht="49.5" customHeight="1" x14ac:dyDescent="0.25">
      <c r="A26" s="37" t="s">
        <v>41</v>
      </c>
      <c r="B26" s="31" t="s">
        <v>82</v>
      </c>
      <c r="C26" s="31" t="s">
        <v>24</v>
      </c>
      <c r="D26" s="11" t="s">
        <v>30</v>
      </c>
      <c r="E26" s="11" t="s">
        <v>31</v>
      </c>
      <c r="F26" s="31" t="s">
        <v>28</v>
      </c>
      <c r="G26" s="34" t="s">
        <v>119</v>
      </c>
    </row>
    <row r="27" spans="1:7" ht="75" customHeight="1" x14ac:dyDescent="0.25">
      <c r="A27" s="38"/>
      <c r="B27" s="32"/>
      <c r="C27" s="32"/>
      <c r="D27" s="10" t="s">
        <v>72</v>
      </c>
      <c r="E27" s="10" t="s">
        <v>61</v>
      </c>
      <c r="F27" s="32"/>
      <c r="G27" s="35"/>
    </row>
    <row r="28" spans="1:7" ht="103.5" customHeight="1" thickBot="1" x14ac:dyDescent="0.3">
      <c r="A28" s="39"/>
      <c r="B28" s="33"/>
      <c r="C28" s="33"/>
      <c r="D28" s="12" t="s">
        <v>27</v>
      </c>
      <c r="E28" s="13" t="s">
        <v>62</v>
      </c>
      <c r="F28" s="33"/>
      <c r="G28" s="36"/>
    </row>
    <row r="29" spans="1:7" ht="45" x14ac:dyDescent="0.25">
      <c r="A29" s="28" t="s">
        <v>42</v>
      </c>
      <c r="B29" s="31" t="s">
        <v>52</v>
      </c>
      <c r="C29" s="31" t="s">
        <v>24</v>
      </c>
      <c r="D29" s="11" t="s">
        <v>30</v>
      </c>
      <c r="E29" s="11" t="s">
        <v>31</v>
      </c>
      <c r="F29" s="31" t="s">
        <v>28</v>
      </c>
      <c r="G29" s="34" t="s">
        <v>119</v>
      </c>
    </row>
    <row r="30" spans="1:7" ht="62.25" customHeight="1" x14ac:dyDescent="0.25">
      <c r="A30" s="29"/>
      <c r="B30" s="32"/>
      <c r="C30" s="32"/>
      <c r="D30" s="14" t="s">
        <v>63</v>
      </c>
      <c r="E30" s="10" t="s">
        <v>32</v>
      </c>
      <c r="F30" s="32"/>
      <c r="G30" s="35"/>
    </row>
    <row r="31" spans="1:7" ht="102.75" customHeight="1" thickBot="1" x14ac:dyDescent="0.3">
      <c r="A31" s="30"/>
      <c r="B31" s="33"/>
      <c r="C31" s="33"/>
      <c r="D31" s="12" t="s">
        <v>27</v>
      </c>
      <c r="E31" s="13" t="s">
        <v>101</v>
      </c>
      <c r="F31" s="33"/>
      <c r="G31" s="36"/>
    </row>
    <row r="32" spans="1:7" ht="45" x14ac:dyDescent="0.25">
      <c r="A32" s="28" t="s">
        <v>43</v>
      </c>
      <c r="B32" s="31" t="s">
        <v>53</v>
      </c>
      <c r="C32" s="31" t="s">
        <v>24</v>
      </c>
      <c r="D32" s="11" t="s">
        <v>30</v>
      </c>
      <c r="E32" s="11" t="s">
        <v>31</v>
      </c>
      <c r="F32" s="31" t="s">
        <v>28</v>
      </c>
      <c r="G32" s="34" t="s">
        <v>119</v>
      </c>
    </row>
    <row r="33" spans="1:7" ht="47.25" x14ac:dyDescent="0.25">
      <c r="A33" s="29"/>
      <c r="B33" s="32"/>
      <c r="C33" s="32"/>
      <c r="D33" s="10" t="s">
        <v>64</v>
      </c>
      <c r="E33" s="10" t="s">
        <v>65</v>
      </c>
      <c r="F33" s="32"/>
      <c r="G33" s="35"/>
    </row>
    <row r="34" spans="1:7" ht="75.75" thickBot="1" x14ac:dyDescent="0.3">
      <c r="A34" s="30"/>
      <c r="B34" s="33"/>
      <c r="C34" s="33"/>
      <c r="D34" s="12" t="s">
        <v>27</v>
      </c>
      <c r="E34" s="13" t="s">
        <v>83</v>
      </c>
      <c r="F34" s="33"/>
      <c r="G34" s="36"/>
    </row>
    <row r="35" spans="1:7" ht="30" customHeight="1" x14ac:dyDescent="0.25">
      <c r="A35" s="28" t="s">
        <v>44</v>
      </c>
      <c r="B35" s="31" t="s">
        <v>54</v>
      </c>
      <c r="C35" s="31" t="s">
        <v>24</v>
      </c>
      <c r="D35" s="11" t="s">
        <v>30</v>
      </c>
      <c r="E35" s="11" t="s">
        <v>31</v>
      </c>
      <c r="F35" s="31" t="s">
        <v>28</v>
      </c>
      <c r="G35" s="34" t="s">
        <v>119</v>
      </c>
    </row>
    <row r="36" spans="1:7" ht="76.5" customHeight="1" x14ac:dyDescent="0.25">
      <c r="A36" s="29"/>
      <c r="B36" s="32"/>
      <c r="C36" s="32"/>
      <c r="D36" s="10" t="s">
        <v>84</v>
      </c>
      <c r="E36" s="10" t="s">
        <v>32</v>
      </c>
      <c r="F36" s="32"/>
      <c r="G36" s="35"/>
    </row>
    <row r="37" spans="1:7" ht="97.5" customHeight="1" thickBot="1" x14ac:dyDescent="0.3">
      <c r="A37" s="30"/>
      <c r="B37" s="33"/>
      <c r="C37" s="33"/>
      <c r="D37" s="12" t="s">
        <v>27</v>
      </c>
      <c r="E37" s="13" t="s">
        <v>66</v>
      </c>
      <c r="F37" s="33"/>
      <c r="G37" s="36"/>
    </row>
    <row r="38" spans="1:7" ht="45" x14ac:dyDescent="0.25">
      <c r="A38" s="28" t="s">
        <v>45</v>
      </c>
      <c r="B38" s="31" t="s">
        <v>55</v>
      </c>
      <c r="C38" s="31" t="s">
        <v>24</v>
      </c>
      <c r="D38" s="11" t="s">
        <v>67</v>
      </c>
      <c r="E38" s="11" t="s">
        <v>70</v>
      </c>
      <c r="F38" s="31" t="s">
        <v>28</v>
      </c>
      <c r="G38" s="34" t="s">
        <v>119</v>
      </c>
    </row>
    <row r="39" spans="1:7" ht="47.25" x14ac:dyDescent="0.25">
      <c r="A39" s="29"/>
      <c r="B39" s="32"/>
      <c r="C39" s="32"/>
      <c r="D39" s="10" t="s">
        <v>68</v>
      </c>
      <c r="E39" s="10" t="s">
        <v>85</v>
      </c>
      <c r="F39" s="32"/>
      <c r="G39" s="35"/>
    </row>
    <row r="40" spans="1:7" ht="87" customHeight="1" thickBot="1" x14ac:dyDescent="0.3">
      <c r="A40" s="30"/>
      <c r="B40" s="33"/>
      <c r="C40" s="33"/>
      <c r="D40" s="12" t="s">
        <v>69</v>
      </c>
      <c r="E40" s="13" t="s">
        <v>86</v>
      </c>
      <c r="F40" s="33"/>
      <c r="G40" s="36"/>
    </row>
    <row r="41" spans="1:7" ht="48.75" customHeight="1" x14ac:dyDescent="0.25">
      <c r="A41" s="28" t="s">
        <v>46</v>
      </c>
      <c r="B41" s="31" t="s">
        <v>87</v>
      </c>
      <c r="C41" s="31" t="s">
        <v>24</v>
      </c>
      <c r="D41" s="11" t="s">
        <v>30</v>
      </c>
      <c r="E41" s="11" t="s">
        <v>31</v>
      </c>
      <c r="F41" s="31" t="s">
        <v>28</v>
      </c>
      <c r="G41" s="34" t="s">
        <v>119</v>
      </c>
    </row>
    <row r="42" spans="1:7" ht="60" customHeight="1" x14ac:dyDescent="0.25">
      <c r="A42" s="29"/>
      <c r="B42" s="32"/>
      <c r="C42" s="32"/>
      <c r="D42" s="10" t="s">
        <v>88</v>
      </c>
      <c r="E42" s="10" t="s">
        <v>32</v>
      </c>
      <c r="F42" s="32"/>
      <c r="G42" s="35"/>
    </row>
    <row r="43" spans="1:7" ht="97.5" customHeight="1" thickBot="1" x14ac:dyDescent="0.3">
      <c r="A43" s="29"/>
      <c r="B43" s="32"/>
      <c r="C43" s="32"/>
      <c r="D43" s="15" t="s">
        <v>27</v>
      </c>
      <c r="E43" s="15" t="s">
        <v>89</v>
      </c>
      <c r="F43" s="32"/>
      <c r="G43" s="35"/>
    </row>
    <row r="44" spans="1:7" ht="64.5" customHeight="1" x14ac:dyDescent="0.25">
      <c r="A44" s="28" t="s">
        <v>47</v>
      </c>
      <c r="B44" s="31" t="s">
        <v>90</v>
      </c>
      <c r="C44" s="31" t="s">
        <v>24</v>
      </c>
      <c r="D44" s="11" t="s">
        <v>30</v>
      </c>
      <c r="E44" s="11" t="s">
        <v>31</v>
      </c>
      <c r="F44" s="31" t="s">
        <v>28</v>
      </c>
      <c r="G44" s="34" t="s">
        <v>119</v>
      </c>
    </row>
    <row r="45" spans="1:7" ht="64.5" customHeight="1" x14ac:dyDescent="0.25">
      <c r="A45" s="29"/>
      <c r="B45" s="32"/>
      <c r="C45" s="32"/>
      <c r="D45" s="10" t="s">
        <v>91</v>
      </c>
      <c r="E45" s="10" t="s">
        <v>32</v>
      </c>
      <c r="F45" s="32"/>
      <c r="G45" s="35"/>
    </row>
    <row r="46" spans="1:7" ht="90" customHeight="1" thickBot="1" x14ac:dyDescent="0.3">
      <c r="A46" s="30"/>
      <c r="B46" s="33"/>
      <c r="C46" s="33"/>
      <c r="D46" s="12" t="s">
        <v>27</v>
      </c>
      <c r="E46" s="13" t="s">
        <v>92</v>
      </c>
      <c r="F46" s="33"/>
      <c r="G46" s="36"/>
    </row>
    <row r="47" spans="1:7" ht="122.25" customHeight="1" x14ac:dyDescent="0.25">
      <c r="A47" s="28" t="s">
        <v>109</v>
      </c>
      <c r="B47" s="31" t="s">
        <v>111</v>
      </c>
      <c r="C47" s="31" t="s">
        <v>24</v>
      </c>
      <c r="D47" s="11" t="s">
        <v>30</v>
      </c>
      <c r="E47" s="11" t="s">
        <v>31</v>
      </c>
      <c r="F47" s="31" t="s">
        <v>28</v>
      </c>
      <c r="G47" s="34" t="s">
        <v>119</v>
      </c>
    </row>
    <row r="48" spans="1:7" ht="120.75" customHeight="1" x14ac:dyDescent="0.25">
      <c r="A48" s="29"/>
      <c r="B48" s="32"/>
      <c r="C48" s="32"/>
      <c r="D48" s="10" t="s">
        <v>112</v>
      </c>
      <c r="E48" s="10" t="s">
        <v>32</v>
      </c>
      <c r="F48" s="32"/>
      <c r="G48" s="35"/>
    </row>
    <row r="49" spans="1:7" ht="134.25" customHeight="1" thickBot="1" x14ac:dyDescent="0.3">
      <c r="A49" s="30"/>
      <c r="B49" s="33"/>
      <c r="C49" s="33"/>
      <c r="D49" s="12" t="s">
        <v>27</v>
      </c>
      <c r="E49" s="13" t="s">
        <v>113</v>
      </c>
      <c r="F49" s="33"/>
      <c r="G49" s="36"/>
    </row>
    <row r="50" spans="1:7" ht="92.25" customHeight="1" x14ac:dyDescent="0.25">
      <c r="A50" s="28" t="s">
        <v>110</v>
      </c>
      <c r="B50" s="31" t="s">
        <v>114</v>
      </c>
      <c r="C50" s="31" t="s">
        <v>24</v>
      </c>
      <c r="D50" s="11" t="s">
        <v>30</v>
      </c>
      <c r="E50" s="11" t="s">
        <v>31</v>
      </c>
      <c r="F50" s="31" t="s">
        <v>28</v>
      </c>
      <c r="G50" s="34" t="s">
        <v>119</v>
      </c>
    </row>
    <row r="51" spans="1:7" ht="96.75" customHeight="1" x14ac:dyDescent="0.25">
      <c r="A51" s="29"/>
      <c r="B51" s="32"/>
      <c r="C51" s="32"/>
      <c r="D51" s="10" t="s">
        <v>115</v>
      </c>
      <c r="E51" s="10" t="s">
        <v>32</v>
      </c>
      <c r="F51" s="32"/>
      <c r="G51" s="35"/>
    </row>
    <row r="52" spans="1:7" ht="150.75" customHeight="1" thickBot="1" x14ac:dyDescent="0.3">
      <c r="A52" s="30"/>
      <c r="B52" s="33"/>
      <c r="C52" s="33"/>
      <c r="D52" s="12" t="s">
        <v>27</v>
      </c>
      <c r="E52" s="13" t="s">
        <v>116</v>
      </c>
      <c r="F52" s="33"/>
      <c r="G52" s="36"/>
    </row>
  </sheetData>
  <mergeCells count="85">
    <mergeCell ref="A50:A52"/>
    <mergeCell ref="B50:B52"/>
    <mergeCell ref="C50:C52"/>
    <mergeCell ref="F50:F52"/>
    <mergeCell ref="G50:G52"/>
    <mergeCell ref="A47:A49"/>
    <mergeCell ref="B47:B49"/>
    <mergeCell ref="C47:C49"/>
    <mergeCell ref="F47:F49"/>
    <mergeCell ref="G47:G49"/>
    <mergeCell ref="A44:A46"/>
    <mergeCell ref="B44:B46"/>
    <mergeCell ref="C44:C46"/>
    <mergeCell ref="F44:F46"/>
    <mergeCell ref="G44:G46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8"/>
  <sheetViews>
    <sheetView workbookViewId="0">
      <selection activeCell="F20" sqref="F20"/>
    </sheetView>
  </sheetViews>
  <sheetFormatPr defaultRowHeight="15" x14ac:dyDescent="0.25"/>
  <cols>
    <col min="1" max="8" width="20.7109375" customWidth="1"/>
  </cols>
  <sheetData>
    <row r="1" spans="1:8" ht="30" x14ac:dyDescent="0.25">
      <c r="A1" s="3" t="s">
        <v>7</v>
      </c>
      <c r="B1" s="3" t="s">
        <v>8</v>
      </c>
      <c r="C1" s="3" t="s">
        <v>9</v>
      </c>
      <c r="D1" s="4" t="s">
        <v>10</v>
      </c>
      <c r="E1" s="4" t="s">
        <v>0</v>
      </c>
      <c r="F1" s="4" t="s">
        <v>11</v>
      </c>
      <c r="G1" s="4" t="s">
        <v>12</v>
      </c>
      <c r="H1" s="3" t="s">
        <v>13</v>
      </c>
    </row>
    <row r="2" spans="1:8" ht="96.75" customHeight="1" x14ac:dyDescent="0.25">
      <c r="A2" s="49" t="s">
        <v>14</v>
      </c>
      <c r="B2" s="46">
        <v>46300</v>
      </c>
      <c r="C2" s="43" t="s">
        <v>29</v>
      </c>
      <c r="D2" s="40" t="s">
        <v>15</v>
      </c>
      <c r="E2" s="17" t="str">
        <f>HYPERLINK("#'Test Cases'!A2", "TC-001")</f>
        <v>TC-001</v>
      </c>
      <c r="F2" s="16" t="s">
        <v>102</v>
      </c>
      <c r="G2" s="7" t="s">
        <v>103</v>
      </c>
      <c r="H2" s="5" t="str">
        <f>HYPERLINK("#'Bug Reports'!A2", "BR-001")</f>
        <v>BR-001</v>
      </c>
    </row>
    <row r="3" spans="1:8" ht="15" customHeight="1" x14ac:dyDescent="0.25">
      <c r="A3" s="50"/>
      <c r="B3" s="47"/>
      <c r="C3" s="44"/>
      <c r="D3" s="41"/>
      <c r="E3" s="5" t="str">
        <f>HYPERLINK("#'Test Cases'!A5", "TC-002")</f>
        <v>TC-002</v>
      </c>
      <c r="F3" s="6" t="s">
        <v>16</v>
      </c>
      <c r="G3" s="8"/>
      <c r="H3" s="8"/>
    </row>
    <row r="4" spans="1:8" ht="15" customHeight="1" x14ac:dyDescent="0.25">
      <c r="A4" s="50"/>
      <c r="B4" s="47"/>
      <c r="C4" s="44"/>
      <c r="D4" s="41"/>
      <c r="E4" s="5" t="str">
        <f>HYPERLINK("#'Test Cases'!A8", "TC-003")</f>
        <v>TC-003</v>
      </c>
      <c r="F4" s="6" t="s">
        <v>16</v>
      </c>
      <c r="G4" s="7"/>
      <c r="H4" s="5"/>
    </row>
    <row r="5" spans="1:8" ht="15" customHeight="1" x14ac:dyDescent="0.25">
      <c r="A5" s="50"/>
      <c r="B5" s="47"/>
      <c r="C5" s="44"/>
      <c r="D5" s="41"/>
      <c r="E5" s="5" t="str">
        <f>HYPERLINK("#'Test Cases'!A11", "TC-004")</f>
        <v>TC-004</v>
      </c>
      <c r="F5" s="6" t="s">
        <v>16</v>
      </c>
      <c r="G5" s="7"/>
      <c r="H5" s="5"/>
    </row>
    <row r="6" spans="1:8" ht="15" customHeight="1" x14ac:dyDescent="0.25">
      <c r="A6" s="50"/>
      <c r="B6" s="47"/>
      <c r="C6" s="44"/>
      <c r="D6" s="41"/>
      <c r="E6" s="5" t="str">
        <f>HYPERLINK("#'Test Cases'!A14", "TC-005")</f>
        <v>TC-005</v>
      </c>
      <c r="F6" s="6" t="s">
        <v>16</v>
      </c>
      <c r="G6" s="7"/>
      <c r="H6" s="8"/>
    </row>
    <row r="7" spans="1:8" ht="17.25" customHeight="1" x14ac:dyDescent="0.25">
      <c r="A7" s="50"/>
      <c r="B7" s="47"/>
      <c r="C7" s="44"/>
      <c r="D7" s="41"/>
      <c r="E7" s="5" t="str">
        <f>HYPERLINK("#'Test Cases'!A17", "TC-006")</f>
        <v>TC-006</v>
      </c>
      <c r="F7" s="6" t="s">
        <v>16</v>
      </c>
      <c r="G7" s="9"/>
      <c r="H7" s="5"/>
    </row>
    <row r="8" spans="1:8" ht="15" customHeight="1" x14ac:dyDescent="0.25">
      <c r="A8" s="50"/>
      <c r="B8" s="47"/>
      <c r="C8" s="44"/>
      <c r="D8" s="41"/>
      <c r="E8" s="5" t="str">
        <f>HYPERLINK("#'Test Cases'!A20", "TC-007")</f>
        <v>TC-007</v>
      </c>
      <c r="F8" s="6" t="s">
        <v>16</v>
      </c>
      <c r="G8" s="8"/>
      <c r="H8" s="8"/>
    </row>
    <row r="9" spans="1:8" ht="15" customHeight="1" thickBot="1" x14ac:dyDescent="0.3">
      <c r="A9" s="50"/>
      <c r="B9" s="47"/>
      <c r="C9" s="44"/>
      <c r="D9" s="41"/>
      <c r="E9" s="5" t="str">
        <f>HYPERLINK("#'Test Cases'!A23", "TC-008")</f>
        <v>TC-008</v>
      </c>
      <c r="F9" s="6" t="s">
        <v>16</v>
      </c>
      <c r="G9" s="8"/>
      <c r="H9" s="8"/>
    </row>
    <row r="10" spans="1:8" ht="96.75" customHeight="1" thickBot="1" x14ac:dyDescent="0.3">
      <c r="A10" s="50"/>
      <c r="B10" s="47"/>
      <c r="C10" s="44"/>
      <c r="D10" s="41"/>
      <c r="E10" s="17" t="str">
        <f>HYPERLINK("#'Test Cases'!A26", "TC-009")</f>
        <v>TC-009</v>
      </c>
      <c r="F10" s="16" t="s">
        <v>102</v>
      </c>
      <c r="G10" s="24" t="s">
        <v>107</v>
      </c>
      <c r="H10" s="5" t="str">
        <f>HYPERLINK("#'Bug Reports'!A3", "BR-002")</f>
        <v>BR-002</v>
      </c>
    </row>
    <row r="11" spans="1:8" ht="15" customHeight="1" x14ac:dyDescent="0.25">
      <c r="A11" s="50"/>
      <c r="B11" s="47"/>
      <c r="C11" s="44"/>
      <c r="D11" s="41"/>
      <c r="E11" s="5" t="str">
        <f>HYPERLINK("#'Test Cases'!A29", "TC-010")</f>
        <v>TC-010</v>
      </c>
      <c r="F11" s="6" t="s">
        <v>16</v>
      </c>
      <c r="G11" s="8"/>
      <c r="H11" s="8"/>
    </row>
    <row r="12" spans="1:8" x14ac:dyDescent="0.25">
      <c r="A12" s="50"/>
      <c r="B12" s="47"/>
      <c r="C12" s="44"/>
      <c r="D12" s="41"/>
      <c r="E12" s="5" t="str">
        <f>HYPERLINK("#'Test Cases'!A32", "TC-011")</f>
        <v>TC-011</v>
      </c>
      <c r="F12" s="6" t="s">
        <v>16</v>
      </c>
      <c r="G12" s="8"/>
      <c r="H12" s="8"/>
    </row>
    <row r="13" spans="1:8" x14ac:dyDescent="0.25">
      <c r="A13" s="50"/>
      <c r="B13" s="47"/>
      <c r="C13" s="44"/>
      <c r="D13" s="41"/>
      <c r="E13" s="5" t="str">
        <f>HYPERLINK("#'Test Cases'!A35", "TC-012")</f>
        <v>TC-012</v>
      </c>
      <c r="F13" s="6" t="s">
        <v>16</v>
      </c>
      <c r="G13" s="8"/>
      <c r="H13" s="8"/>
    </row>
    <row r="14" spans="1:8" x14ac:dyDescent="0.25">
      <c r="A14" s="50"/>
      <c r="B14" s="47"/>
      <c r="C14" s="44"/>
      <c r="D14" s="41"/>
      <c r="E14" s="5" t="str">
        <f>HYPERLINK("#'Test Cases'!A38", "TC-013")</f>
        <v>TC-013</v>
      </c>
      <c r="F14" s="6" t="s">
        <v>16</v>
      </c>
      <c r="G14" s="8"/>
      <c r="H14" s="8"/>
    </row>
    <row r="15" spans="1:8" x14ac:dyDescent="0.25">
      <c r="A15" s="50"/>
      <c r="B15" s="47"/>
      <c r="C15" s="44"/>
      <c r="D15" s="41"/>
      <c r="E15" s="5" t="str">
        <f>HYPERLINK("#'Test Cases'!A41", "TC-014")</f>
        <v>TC-014</v>
      </c>
      <c r="F15" s="6" t="s">
        <v>16</v>
      </c>
      <c r="G15" s="8"/>
      <c r="H15" s="8"/>
    </row>
    <row r="16" spans="1:8" x14ac:dyDescent="0.25">
      <c r="A16" s="50"/>
      <c r="B16" s="47"/>
      <c r="C16" s="44"/>
      <c r="D16" s="41"/>
      <c r="E16" s="5" t="str">
        <f>HYPERLINK("#'Test Cases'!A46", "TC-015")</f>
        <v>TC-015</v>
      </c>
      <c r="F16" s="6" t="s">
        <v>16</v>
      </c>
      <c r="G16" s="8"/>
      <c r="H16" s="8"/>
    </row>
    <row r="17" spans="1:8" x14ac:dyDescent="0.25">
      <c r="A17" s="51"/>
      <c r="B17" s="48"/>
      <c r="C17" s="45"/>
      <c r="D17" s="42"/>
      <c r="E17" s="5" t="str">
        <f>HYPERLINK("#'Test Cases'!A47", "TC-016")</f>
        <v>TC-016</v>
      </c>
      <c r="F17" s="6" t="s">
        <v>16</v>
      </c>
      <c r="G17" s="8"/>
      <c r="H17" s="8"/>
    </row>
    <row r="18" spans="1:8" x14ac:dyDescent="0.25">
      <c r="E18" s="5" t="str">
        <f>HYPERLINK("#'Test Cases'!A50", "TC-017")</f>
        <v>TC-017</v>
      </c>
      <c r="F18" s="6" t="s">
        <v>16</v>
      </c>
      <c r="G18" s="8"/>
      <c r="H18" s="8"/>
    </row>
  </sheetData>
  <mergeCells count="4">
    <mergeCell ref="D2:D17"/>
    <mergeCell ref="C2:C17"/>
    <mergeCell ref="B2:B17"/>
    <mergeCell ref="A2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3"/>
  <sheetViews>
    <sheetView tabSelected="1" workbookViewId="0">
      <selection activeCell="F17" sqref="F17"/>
    </sheetView>
  </sheetViews>
  <sheetFormatPr defaultRowHeight="15" x14ac:dyDescent="0.25"/>
  <cols>
    <col min="1" max="13" width="20.7109375" customWidth="1"/>
  </cols>
  <sheetData>
    <row r="1" spans="1:13" ht="45.75" thickBot="1" x14ac:dyDescent="0.3">
      <c r="A1" s="3" t="s">
        <v>13</v>
      </c>
      <c r="B1" s="3" t="s">
        <v>1</v>
      </c>
      <c r="C1" s="3" t="s">
        <v>17</v>
      </c>
      <c r="D1" s="4" t="s">
        <v>7</v>
      </c>
      <c r="E1" s="4" t="s">
        <v>2</v>
      </c>
      <c r="F1" s="4" t="s">
        <v>18</v>
      </c>
      <c r="G1" s="4" t="s">
        <v>4</v>
      </c>
      <c r="H1" s="3" t="s">
        <v>19</v>
      </c>
      <c r="I1" s="3" t="s">
        <v>20</v>
      </c>
      <c r="J1" s="3" t="s">
        <v>6</v>
      </c>
      <c r="K1" s="3" t="s">
        <v>21</v>
      </c>
      <c r="L1" s="4" t="s">
        <v>22</v>
      </c>
      <c r="M1" s="4" t="s">
        <v>23</v>
      </c>
    </row>
    <row r="2" spans="1:13" ht="90.75" thickBot="1" x14ac:dyDescent="0.3">
      <c r="A2" s="18" t="s">
        <v>95</v>
      </c>
      <c r="B2" s="19" t="s">
        <v>26</v>
      </c>
      <c r="C2" s="20" t="str">
        <f>HYPERLINK("#'Test Cases'!A2", "TC-001")</f>
        <v>TC-001</v>
      </c>
      <c r="D2" s="21" t="str">
        <f>HYPERLINK("#'Test Run'!A2", "TR-001")</f>
        <v>TR-001</v>
      </c>
      <c r="E2" s="22" t="s">
        <v>24</v>
      </c>
      <c r="F2" s="23" t="s">
        <v>27</v>
      </c>
      <c r="G2" s="24" t="s">
        <v>94</v>
      </c>
      <c r="H2" s="24" t="s">
        <v>104</v>
      </c>
      <c r="I2" s="25" t="s">
        <v>96</v>
      </c>
      <c r="J2" s="25" t="s">
        <v>105</v>
      </c>
      <c r="K2" s="26" t="s">
        <v>97</v>
      </c>
      <c r="L2" s="26" t="s">
        <v>106</v>
      </c>
      <c r="M2" s="27">
        <v>46296</v>
      </c>
    </row>
    <row r="3" spans="1:13" ht="125.25" customHeight="1" thickBot="1" x14ac:dyDescent="0.3">
      <c r="A3" s="18" t="s">
        <v>117</v>
      </c>
      <c r="B3" s="19" t="s">
        <v>82</v>
      </c>
      <c r="C3" s="17" t="str">
        <f>HYPERLINK("#'Test Cases'!A26", "TC-009")</f>
        <v>TC-009</v>
      </c>
      <c r="D3" s="21" t="str">
        <f>HYPERLINK("#'Test Run'!A2", "TR-001")</f>
        <v>TR-001</v>
      </c>
      <c r="E3" s="22" t="s">
        <v>24</v>
      </c>
      <c r="F3" s="23" t="s">
        <v>27</v>
      </c>
      <c r="G3" s="13" t="s">
        <v>62</v>
      </c>
      <c r="H3" s="24" t="s">
        <v>107</v>
      </c>
      <c r="I3" s="25" t="s">
        <v>118</v>
      </c>
      <c r="J3" s="25" t="s">
        <v>119</v>
      </c>
      <c r="K3" s="26" t="s">
        <v>97</v>
      </c>
      <c r="L3" s="26" t="s">
        <v>108</v>
      </c>
      <c r="M3" s="27">
        <v>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2026-10-05T09:19:04Z</dcterms:modified>
</cp:coreProperties>
</file>