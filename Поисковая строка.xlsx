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2" documentId="11_F25DC773A252ABDACC10481E791F7A445ADE58EB" xr6:coauthVersionLast="47" xr6:coauthVersionMax="47" xr10:uidLastSave="{A8CA1D0B-B9BD-43B9-A01F-12798F3B800D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D3" i="3"/>
  <c r="H7" i="2"/>
  <c r="E6" i="2"/>
  <c r="E7" i="2"/>
  <c r="H5" i="2"/>
  <c r="E5" i="2"/>
  <c r="E4" i="2"/>
  <c r="E3" i="2"/>
  <c r="C2" i="3"/>
  <c r="D2" i="3"/>
  <c r="E2" i="2"/>
</calcChain>
</file>

<file path=xl/sharedStrings.xml><?xml version="1.0" encoding="utf-8"?>
<sst xmlns="http://schemas.openxmlformats.org/spreadsheetml/2006/main" count="113" uniqueCount="62">
  <si>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</si>
  <si>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</si>
  <si>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</si>
  <si>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</si>
  <si>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</si>
  <si>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</si>
  <si>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</si>
  <si>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</si>
  <si>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</si>
  <si>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</si>
  <si>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</si>
  <si>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</si>
  <si>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</si>
  <si>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</si>
  <si>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</si>
  <si>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</si>
  <si>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</si>
  <si>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False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</si>
  <si>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</si>
  <si>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</si>
  <si>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</si>
  <si>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</si>
  <si>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</si>
  <si>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</si>
  <si>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</si>
  <si>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BR-001</t>
  </si>
  <si>
    <t>Открыта любая внутренняя страница сайта</t>
  </si>
  <si>
    <t>Major</t>
  </si>
  <si>
    <t>High</t>
  </si>
  <si>
    <t>Windows 10/ Yandex Версия
26.8.2.1064 (64-bit)</t>
  </si>
  <si>
    <t>TC-001</t>
  </si>
  <si>
    <t xml:space="preserve">Поле принимает данные без ошибок валидации </t>
  </si>
  <si>
    <t>Hihg</t>
  </si>
  <si>
    <t>Поисковая строка</t>
  </si>
  <si>
    <t>Ввести в поисковую строку: Наталья Богданова объяснила поражение в полуфинале Азиады-2026</t>
  </si>
  <si>
    <t>Нажать кнопку поиск</t>
  </si>
  <si>
    <t>Система  выдала страницу с результатами.</t>
  </si>
  <si>
    <t>Пользователь находится на странице с результатом поиска</t>
  </si>
  <si>
    <t>TC-002</t>
  </si>
  <si>
    <t>Поисковая строка: 3 первые буквы</t>
  </si>
  <si>
    <t>Ввести в поисковую строку: Ази</t>
  </si>
  <si>
    <t>Поисковая строка: 4 буквы</t>
  </si>
  <si>
    <t>Ввести в поисковую строку: Бары</t>
  </si>
  <si>
    <t>TC-003</t>
  </si>
  <si>
    <t>Поисковая строка: опечатка в середине слова</t>
  </si>
  <si>
    <t>TC-004</t>
  </si>
  <si>
    <t>Ввести в поисковую строку: Азияда</t>
  </si>
  <si>
    <t>В поисковой строке отсутствуют новости и статьи</t>
  </si>
  <si>
    <t>Функциональное: Поисковая строка</t>
  </si>
  <si>
    <t>Открывает пустую страницу с результатом поиска, нет надписей что новостей и статей не найдено</t>
  </si>
  <si>
    <t>https://prnt.sc/2dPQClYlYIuE</t>
  </si>
  <si>
    <t>TC-005</t>
  </si>
  <si>
    <t>Ввести в поисковую строку: фывлпрц</t>
  </si>
  <si>
    <t>По вашему запросу ничего не найдено</t>
  </si>
  <si>
    <t>Пользователь находится на странице с пустым результатом поиска</t>
  </si>
  <si>
    <t>TC-006</t>
  </si>
  <si>
    <t>Поисковая строка: пустая</t>
  </si>
  <si>
    <t xml:space="preserve">Ввести в поисковую строку: </t>
  </si>
  <si>
    <t>Поисковая строка полностью пустая без обратной связи, постоянная загрузка сайта</t>
  </si>
  <si>
    <t>BR-002</t>
  </si>
  <si>
    <t>https://prnt.sc/dgaHK3L7Qx-X</t>
  </si>
  <si>
    <t>Открывает пустую страницу с результатом поиска, нет обратной связи, бесконечная загрузка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</si>
</sst>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0" fontId="3" fillId="0" borderId="6" xfId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6" xfId="0" applyBorder="1" applyAlignment="1">
      <alignment wrapText="1"/>
    </xf>
    <xf numFmtId="0" fontId="3" fillId="0" borderId="6" xfId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4" workbookViewId="0">
      <selection activeCell="A8" sqref="A8:A9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2.25" customHeight="1" thickBot="1" x14ac:dyDescent="0.3">
      <c r="A2" s="6" t="s">
        <v>30</v>
      </c>
      <c r="B2" s="7" t="s">
        <v>33</v>
      </c>
      <c r="C2" s="7" t="s">
        <v>26</v>
      </c>
      <c r="D2" s="5" t="s">
        <v>34</v>
      </c>
      <c r="E2" s="5" t="s">
        <v>31</v>
      </c>
      <c r="F2" s="7" t="s">
        <v>37</v>
      </c>
      <c r="G2" s="7" t="s">
        <v>32</v>
      </c>
    </row>
    <row r="3" spans="1:7" ht="95.25" customHeight="1" thickBot="1" x14ac:dyDescent="0.3">
      <c r="A3" s="8"/>
      <c r="B3" s="9"/>
      <c r="C3" s="9"/>
      <c r="D3" s="5" t="s">
        <v>35</v>
      </c>
      <c r="E3" s="11" t="s">
        <v>36</v>
      </c>
      <c r="F3" s="9"/>
      <c r="G3" s="9"/>
    </row>
    <row r="4" spans="1:7" ht="63.75" customHeight="1" thickBot="1" x14ac:dyDescent="0.3">
      <c r="A4" s="6" t="s">
        <v>38</v>
      </c>
      <c r="B4" s="7" t="s">
        <v>39</v>
      </c>
      <c r="C4" s="7" t="s">
        <v>26</v>
      </c>
      <c r="D4" s="5" t="s">
        <v>40</v>
      </c>
      <c r="E4" s="5" t="s">
        <v>31</v>
      </c>
      <c r="F4" s="7" t="s">
        <v>37</v>
      </c>
      <c r="G4" s="7" t="s">
        <v>32</v>
      </c>
    </row>
    <row r="5" spans="1:7" ht="75.75" customHeight="1" thickBot="1" x14ac:dyDescent="0.3">
      <c r="A5" s="8"/>
      <c r="B5" s="9"/>
      <c r="C5" s="9"/>
      <c r="D5" s="5" t="s">
        <v>35</v>
      </c>
      <c r="E5" s="11" t="s">
        <v>36</v>
      </c>
      <c r="F5" s="9"/>
      <c r="G5" s="9"/>
    </row>
    <row r="6" spans="1:7" ht="54.75" customHeight="1" thickBot="1" x14ac:dyDescent="0.3">
      <c r="A6" s="6" t="s">
        <v>43</v>
      </c>
      <c r="B6" s="7" t="s">
        <v>41</v>
      </c>
      <c r="C6" s="7" t="s">
        <v>26</v>
      </c>
      <c r="D6" s="5" t="s">
        <v>42</v>
      </c>
      <c r="E6" s="5" t="s">
        <v>31</v>
      </c>
      <c r="F6" s="7" t="s">
        <v>37</v>
      </c>
      <c r="G6" s="7" t="s">
        <v>32</v>
      </c>
    </row>
    <row r="7" spans="1:7" ht="45.75" thickBot="1" x14ac:dyDescent="0.3">
      <c r="A7" s="8"/>
      <c r="B7" s="9"/>
      <c r="C7" s="9"/>
      <c r="D7" s="5" t="s">
        <v>35</v>
      </c>
      <c r="E7" s="11" t="s">
        <v>36</v>
      </c>
      <c r="F7" s="9"/>
      <c r="G7" s="9"/>
    </row>
    <row r="8" spans="1:7" ht="48" thickBot="1" x14ac:dyDescent="0.3">
      <c r="A8" s="6" t="s">
        <v>45</v>
      </c>
      <c r="B8" s="7" t="s">
        <v>44</v>
      </c>
      <c r="C8" s="7" t="s">
        <v>26</v>
      </c>
      <c r="D8" s="5" t="s">
        <v>46</v>
      </c>
      <c r="E8" s="5" t="s">
        <v>31</v>
      </c>
      <c r="F8" s="7" t="s">
        <v>37</v>
      </c>
      <c r="G8" s="7" t="s">
        <v>32</v>
      </c>
    </row>
    <row r="9" spans="1:7" ht="45.75" thickBot="1" x14ac:dyDescent="0.3">
      <c r="A9" s="8"/>
      <c r="B9" s="9"/>
      <c r="C9" s="9"/>
      <c r="D9" s="5" t="s">
        <v>35</v>
      </c>
      <c r="E9" s="11" t="s">
        <v>36</v>
      </c>
      <c r="F9" s="9"/>
      <c r="G9" s="9"/>
    </row>
    <row r="10" spans="1:7" ht="48" thickBot="1" x14ac:dyDescent="0.3">
      <c r="A10" s="6" t="s">
        <v>51</v>
      </c>
      <c r="B10" s="7" t="s">
        <v>44</v>
      </c>
      <c r="C10" s="7" t="s">
        <v>26</v>
      </c>
      <c r="D10" s="5" t="s">
        <v>52</v>
      </c>
      <c r="E10" s="5" t="s">
        <v>31</v>
      </c>
      <c r="F10" s="7" t="s">
        <v>54</v>
      </c>
      <c r="G10" s="7" t="s">
        <v>32</v>
      </c>
    </row>
    <row r="11" spans="1:7" ht="32.25" thickBot="1" x14ac:dyDescent="0.3">
      <c r="A11" s="8"/>
      <c r="B11" s="9"/>
      <c r="C11" s="9"/>
      <c r="D11" s="5" t="s">
        <v>35</v>
      </c>
      <c r="E11" s="11" t="s">
        <v>53</v>
      </c>
      <c r="F11" s="9"/>
      <c r="G11" s="9"/>
    </row>
    <row r="12" spans="1:7" ht="48" thickBot="1" x14ac:dyDescent="0.3">
      <c r="A12" s="6" t="s">
        <v>55</v>
      </c>
      <c r="B12" s="7" t="s">
        <v>56</v>
      </c>
      <c r="C12" s="7" t="s">
        <v>26</v>
      </c>
      <c r="D12" s="5" t="s">
        <v>57</v>
      </c>
      <c r="E12" s="5" t="s">
        <v>31</v>
      </c>
      <c r="F12" s="7" t="s">
        <v>54</v>
      </c>
      <c r="G12" s="7" t="s">
        <v>32</v>
      </c>
    </row>
    <row r="13" spans="1:7" ht="32.25" thickBot="1" x14ac:dyDescent="0.3">
      <c r="A13" s="8"/>
      <c r="B13" s="9"/>
      <c r="C13" s="9"/>
      <c r="D13" s="5" t="s">
        <v>35</v>
      </c>
      <c r="E13" s="11" t="s">
        <v>53</v>
      </c>
      <c r="F13" s="9"/>
      <c r="G13" s="9"/>
    </row>
  </sheetData>
  <mergeCells count="30">
    <mergeCell ref="A12:A13"/>
    <mergeCell ref="B12:B13"/>
    <mergeCell ref="C12:C13"/>
    <mergeCell ref="F12:F13"/>
    <mergeCell ref="G12:G13"/>
    <mergeCell ref="A8:A9"/>
    <mergeCell ref="B8:B9"/>
    <mergeCell ref="C8:C9"/>
    <mergeCell ref="F8:F9"/>
    <mergeCell ref="G8:G9"/>
    <mergeCell ref="A10:A11"/>
    <mergeCell ref="B10:B11"/>
    <mergeCell ref="C10:C11"/>
    <mergeCell ref="F10:F11"/>
    <mergeCell ref="G10:G11"/>
    <mergeCell ref="A4:A5"/>
    <mergeCell ref="B4:B5"/>
    <mergeCell ref="C4:C5"/>
    <mergeCell ref="F4:F5"/>
    <mergeCell ref="G4:G5"/>
    <mergeCell ref="A6:A7"/>
    <mergeCell ref="B6:B7"/>
    <mergeCell ref="C6:C7"/>
    <mergeCell ref="F6:F7"/>
    <mergeCell ref="G6:G7"/>
    <mergeCell ref="F2:F3"/>
    <mergeCell ref="C2:C3"/>
    <mergeCell ref="B2:B3"/>
    <mergeCell ref="A2:A3"/>
    <mergeCell ref="G2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1"/>
  <sheetViews>
    <sheetView workbookViewId="0">
      <selection activeCell="H7" sqref="H7"/>
    </sheetView>
  </sheetViews>
  <sheetFormatPr defaultRowHeight="15" x14ac:dyDescent="0.25"/>
  <cols>
    <col min="1" max="8" width="20.7109375" customWidth="1"/>
  </cols>
  <sheetData>
    <row r="1" spans="1:8" ht="30" x14ac:dyDescent="0.25">
      <c r="A1" s="3" t="s">
        <v>7</v>
      </c>
      <c r="B1" s="3" t="s">
        <v>8</v>
      </c>
      <c r="C1" s="3" t="s">
        <v>9</v>
      </c>
      <c r="D1" s="4" t="s">
        <v>10</v>
      </c>
      <c r="E1" s="4" t="s">
        <v>0</v>
      </c>
      <c r="F1" s="4" t="s">
        <v>11</v>
      </c>
      <c r="G1" s="4" t="s">
        <v>12</v>
      </c>
      <c r="H1" s="3" t="s">
        <v>13</v>
      </c>
    </row>
    <row r="2" spans="1:8" ht="15" customHeight="1" x14ac:dyDescent="0.25">
      <c r="A2" s="30" t="s">
        <v>14</v>
      </c>
      <c r="B2" s="27">
        <v>46295</v>
      </c>
      <c r="C2" s="23" t="s">
        <v>48</v>
      </c>
      <c r="D2" s="20" t="s">
        <v>15</v>
      </c>
      <c r="E2" s="14" t="str">
        <f>HYPERLINK("#'Test Cases'!A2", "TC-001")</f>
        <v>TC-001</v>
      </c>
      <c r="F2" s="15" t="s">
        <v>16</v>
      </c>
      <c r="G2" s="16"/>
      <c r="H2" s="14"/>
    </row>
    <row r="3" spans="1:8" ht="15" customHeight="1" x14ac:dyDescent="0.25">
      <c r="A3" s="31"/>
      <c r="B3" s="28"/>
      <c r="C3" s="24"/>
      <c r="D3" s="21"/>
      <c r="E3" s="14" t="str">
        <f>HYPERLINK("#'Test Cases'!A4", "TC-002")</f>
        <v>TC-002</v>
      </c>
      <c r="F3" s="15" t="s">
        <v>16</v>
      </c>
      <c r="G3" s="17"/>
      <c r="H3" s="17"/>
    </row>
    <row r="4" spans="1:8" ht="15" customHeight="1" x14ac:dyDescent="0.25">
      <c r="A4" s="31"/>
      <c r="B4" s="28"/>
      <c r="C4" s="24"/>
      <c r="D4" s="21"/>
      <c r="E4" s="14" t="str">
        <f>HYPERLINK("#'Test Cases'!A6", "TC-003")</f>
        <v>TC-003</v>
      </c>
      <c r="F4" s="15" t="s">
        <v>16</v>
      </c>
      <c r="G4" s="16"/>
      <c r="H4" s="14"/>
    </row>
    <row r="5" spans="1:8" ht="45" x14ac:dyDescent="0.25">
      <c r="A5" s="31"/>
      <c r="B5" s="28"/>
      <c r="C5" s="24"/>
      <c r="D5" s="21"/>
      <c r="E5" s="14" t="str">
        <f>HYPERLINK("#'Test Cases'!A8", "TC-004")</f>
        <v>TC-004</v>
      </c>
      <c r="F5" s="18" t="s">
        <v>17</v>
      </c>
      <c r="G5" s="16" t="s">
        <v>47</v>
      </c>
      <c r="H5" s="14" t="str">
        <f>HYPERLINK("#'Bug Reports'!A2", "BR-001")</f>
        <v>BR-001</v>
      </c>
    </row>
    <row r="6" spans="1:8" ht="15" customHeight="1" x14ac:dyDescent="0.25">
      <c r="A6" s="31"/>
      <c r="B6" s="28"/>
      <c r="C6" s="24"/>
      <c r="D6" s="21"/>
      <c r="E6" s="14" t="str">
        <f>HYPERLINK("#'Test Cases'!A10", "TC-005")</f>
        <v>TC-005</v>
      </c>
      <c r="F6" s="15" t="s">
        <v>16</v>
      </c>
      <c r="G6" s="16"/>
      <c r="H6" s="17"/>
    </row>
    <row r="7" spans="1:8" ht="90" customHeight="1" x14ac:dyDescent="0.25">
      <c r="A7" s="32"/>
      <c r="B7" s="29"/>
      <c r="C7" s="25"/>
      <c r="D7" s="22"/>
      <c r="E7" s="14" t="str">
        <f>HYPERLINK("#'Test Cases'!A12", "TC-006")</f>
        <v>TC-006</v>
      </c>
      <c r="F7" s="18" t="s">
        <v>17</v>
      </c>
      <c r="G7" s="35" t="s">
        <v>58</v>
      </c>
      <c r="H7" s="14" t="str">
        <f>HYPERLINK("#'Bug Reports'!A3", "BR-002")</f>
        <v>BR-002</v>
      </c>
    </row>
    <row r="8" spans="1:8" ht="15" customHeight="1" x14ac:dyDescent="0.25">
      <c r="A8" s="12"/>
      <c r="B8" s="13"/>
      <c r="C8" s="10"/>
      <c r="D8" s="33"/>
      <c r="E8" s="34"/>
    </row>
    <row r="9" spans="1:8" ht="15" customHeight="1" x14ac:dyDescent="0.25">
      <c r="A9" s="12"/>
      <c r="B9" s="13"/>
      <c r="C9" s="10"/>
      <c r="D9" s="33"/>
      <c r="E9" s="34"/>
    </row>
    <row r="10" spans="1:8" ht="15" customHeight="1" x14ac:dyDescent="0.25">
      <c r="A10" s="12"/>
      <c r="B10" s="13"/>
      <c r="C10" s="10"/>
      <c r="D10" s="33"/>
      <c r="E10" s="34"/>
    </row>
    <row r="11" spans="1:8" ht="15" customHeight="1" x14ac:dyDescent="0.25">
      <c r="A11" s="12"/>
      <c r="B11" s="13"/>
      <c r="C11" s="10"/>
      <c r="D11" s="33"/>
      <c r="E11" s="34"/>
    </row>
  </sheetData>
  <mergeCells count="4">
    <mergeCell ref="D2:D7"/>
    <mergeCell ref="C2:C7"/>
    <mergeCell ref="B2:B7"/>
    <mergeCell ref="A2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3"/>
  <sheetViews>
    <sheetView workbookViewId="0">
      <selection activeCell="E16" sqref="E16"/>
    </sheetView>
  </sheetViews>
  <sheetFormatPr defaultRowHeight="15" x14ac:dyDescent="0.25"/>
  <cols>
    <col min="1" max="13" width="20.7109375" customWidth="1"/>
  </cols>
  <sheetData>
    <row r="1" spans="1:13" ht="45" x14ac:dyDescent="0.25">
      <c r="A1" s="3" t="s">
        <v>13</v>
      </c>
      <c r="B1" s="3" t="s">
        <v>1</v>
      </c>
      <c r="C1" s="3" t="s">
        <v>18</v>
      </c>
      <c r="D1" s="4" t="s">
        <v>7</v>
      </c>
      <c r="E1" s="4" t="s">
        <v>2</v>
      </c>
      <c r="F1" s="4" t="s">
        <v>19</v>
      </c>
      <c r="G1" s="4" t="s">
        <v>4</v>
      </c>
      <c r="H1" s="3" t="s">
        <v>20</v>
      </c>
      <c r="I1" s="3" t="s">
        <v>21</v>
      </c>
      <c r="J1" s="3" t="s">
        <v>6</v>
      </c>
      <c r="K1" s="3" t="s">
        <v>22</v>
      </c>
      <c r="L1" s="4" t="s">
        <v>23</v>
      </c>
      <c r="M1" s="4" t="s">
        <v>24</v>
      </c>
    </row>
    <row r="2" spans="1:13" ht="90" x14ac:dyDescent="0.25">
      <c r="A2" s="14" t="s">
        <v>25</v>
      </c>
      <c r="B2" s="16" t="s">
        <v>33</v>
      </c>
      <c r="C2" s="36" t="str">
        <f>HYPERLINK("#'Test Cases'!A8", "TC-004")</f>
        <v>TC-004</v>
      </c>
      <c r="D2" s="36" t="str">
        <f>HYPERLINK("#'Test Run'!A2", "TR-001")</f>
        <v>TR-001</v>
      </c>
      <c r="E2" s="37" t="s">
        <v>26</v>
      </c>
      <c r="F2" s="38" t="s">
        <v>35</v>
      </c>
      <c r="G2" s="16" t="s">
        <v>36</v>
      </c>
      <c r="H2" s="16" t="s">
        <v>49</v>
      </c>
      <c r="I2" s="19" t="s">
        <v>27</v>
      </c>
      <c r="J2" s="19" t="s">
        <v>28</v>
      </c>
      <c r="K2" s="16" t="s">
        <v>29</v>
      </c>
      <c r="L2" s="16" t="s">
        <v>50</v>
      </c>
      <c r="M2" s="26">
        <v>46295</v>
      </c>
    </row>
    <row r="3" spans="1:13" ht="90" x14ac:dyDescent="0.25">
      <c r="A3" s="14" t="s">
        <v>59</v>
      </c>
      <c r="B3" s="16" t="s">
        <v>33</v>
      </c>
      <c r="C3" s="36" t="str">
        <f>HYPERLINK("#'Test Cases'!A12", "TC-006")</f>
        <v>TC-006</v>
      </c>
      <c r="D3" s="36" t="str">
        <f>HYPERLINK("#'Test Run'!A2", "TR-001")</f>
        <v>TR-001</v>
      </c>
      <c r="E3" s="37" t="s">
        <v>26</v>
      </c>
      <c r="F3" s="38" t="s">
        <v>35</v>
      </c>
      <c r="G3" s="16" t="s">
        <v>36</v>
      </c>
      <c r="H3" s="16" t="s">
        <v>61</v>
      </c>
      <c r="I3" s="19" t="s">
        <v>27</v>
      </c>
      <c r="J3" s="19" t="s">
        <v>28</v>
      </c>
      <c r="K3" s="16" t="s">
        <v>29</v>
      </c>
      <c r="L3" s="16" t="s">
        <v>60</v>
      </c>
      <c r="M3" s="26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2026-09-30T07:00:16Z</dcterms:modified>
</cp:coreProperties>
</file>