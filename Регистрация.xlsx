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1bea10542c94829a/Desktop/Работа/"/>
    </mc:Choice>
  </mc:AlternateContent>
  <xr:revisionPtr revIDLastSave="49" documentId="11_F25DC773A252ABDACC10481E791F7A445ADE58EB" xr6:coauthVersionLast="47" xr6:coauthVersionMax="47" xr10:uidLastSave="{9440B44A-B69F-4261-ACA8-F926823EA286}"/>
  <bookViews>
    <workbookView xWindow="-120" yWindow="-120" windowWidth="29040" windowHeight="15840" activeTab="2" xr2:uid="{00000000-000D-0000-FFFF-FFFF00000000}"/>
  </bookViews>
  <sheets>
    <sheet name="Test Cases" sheetId="1" r:id="rId1"/>
    <sheet name="Test Run" sheetId="2" r:id="rId2"/>
    <sheet name="Bug Repo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3" l="1"/>
  <c r="C3" i="3"/>
  <c r="E10" i="2"/>
  <c r="C2" i="3"/>
  <c r="E9" i="2"/>
  <c r="D4" i="3"/>
  <c r="E11" i="2"/>
  <c r="E8" i="2"/>
  <c r="E7" i="2"/>
  <c r="E6" i="2"/>
  <c r="E5" i="2"/>
  <c r="E4" i="2"/>
  <c r="E3" i="2"/>
  <c r="E2" i="2"/>
  <c r="D3" i="3"/>
  <c r="D2" i="3"/>
</calcChain>
</file>

<file path=xl/sharedStrings.xml><?xml version="1.0" encoding="utf-8"?>
<sst xmlns="http://schemas.openxmlformats.org/spreadsheetml/2006/main" count="215" uniqueCount="85">
  <si>
    <t>Case ID
(Номер кейса)</t>
  </si>
  <si>
    <t>Title
(Название кейса)</t>
  </si>
  <si>
    <t>Preconditions
(Предусловия)</t>
  </si>
  <si>
    <t>Steps (Шаги)</t>
  </si>
  <si>
    <t>Expected Result
(Ожидаемый результат)</t>
  </si>
  <si>
    <t>Postconditions
(Постусловия)</t>
  </si>
  <si>
    <t>Priority
(Приоритет)</t>
  </si>
  <si>
    <t>TC-001</t>
  </si>
  <si>
    <t>Регистрация</t>
  </si>
  <si>
    <t>Открыта страница регистрации, пользователь не авторизован</t>
  </si>
  <si>
    <t>Создан новый пользователь с указанными данными.</t>
  </si>
  <si>
    <t>Hihg</t>
  </si>
  <si>
    <t>Поле не принимает данные, ошибка валидации</t>
  </si>
  <si>
    <t>Session ID
(Номер сессии)</t>
  </si>
  <si>
    <t>Date
(Время)</t>
  </si>
  <si>
    <t>Session Name
(Имя сессии)</t>
  </si>
  <si>
    <t>Tester
(Тестировщик)</t>
  </si>
  <si>
    <t>Result
(Результат)</t>
  </si>
  <si>
    <t>Comment
(Комментарий)</t>
  </si>
  <si>
    <t>Bug ID
(Номер бага)</t>
  </si>
  <si>
    <t>TR-001</t>
  </si>
  <si>
    <t>Функциональное: Форма регистрации</t>
  </si>
  <si>
    <t>Проскуренко И.К</t>
  </si>
  <si>
    <t>Pass</t>
  </si>
  <si>
    <t>Related Case ID
(Связанный кейс)</t>
  </si>
  <si>
    <t>Error Step
(Шаг с ошибкой)</t>
  </si>
  <si>
    <t>Actual Result
(Актуальный результат)</t>
  </si>
  <si>
    <t>Severity
(Серъезность)</t>
  </si>
  <si>
    <t>Environment
(Окружение)</t>
  </si>
  <si>
    <t>Attachments/Links
(Скриншоты/Ссылки)</t>
  </si>
  <si>
    <t>Date Reported
(Дата обнаружения)</t>
  </si>
  <si>
    <t>Открыта любая внутренняя страница сайта</t>
  </si>
  <si>
    <t>Major</t>
  </si>
  <si>
    <t>High</t>
  </si>
  <si>
    <t>Windows 10/ Yandex Версия
26.8.2.1064 (64-bit)</t>
  </si>
  <si>
    <t>False</t>
  </si>
  <si>
    <t>Ввести email: stejl2004@mail.ru</t>
  </si>
  <si>
    <t>SmartCaptcha</t>
  </si>
  <si>
    <t>Зарегистрироваться</t>
  </si>
  <si>
    <t xml:space="preserve">Поле принимает данные без ошибок валидации </t>
  </si>
  <si>
    <t>Аккаунт успешно создан</t>
  </si>
  <si>
    <t>Пароль: TestPass123</t>
  </si>
  <si>
    <t>Пароль еще раз: TestPass123</t>
  </si>
  <si>
    <t>TC-002</t>
  </si>
  <si>
    <t>Ввести email: stejl2004mail.ru</t>
  </si>
  <si>
    <t>Регистрация: неверный email без @</t>
  </si>
  <si>
    <t xml:space="preserve">Поле не принимает данные, ошибка валидации </t>
  </si>
  <si>
    <t>Аккаунт не создан</t>
  </si>
  <si>
    <t>Новый пользователь не создан</t>
  </si>
  <si>
    <t>Регистрация: пустой email</t>
  </si>
  <si>
    <t>Ввести email: </t>
  </si>
  <si>
    <t>TC-003</t>
  </si>
  <si>
    <t>TC-004</t>
  </si>
  <si>
    <t>Регистрация: пустой пароль</t>
  </si>
  <si>
    <t xml:space="preserve">Пароль: </t>
  </si>
  <si>
    <t>TC-005</t>
  </si>
  <si>
    <t xml:space="preserve">Пароль еще раз: </t>
  </si>
  <si>
    <t>TC-006</t>
  </si>
  <si>
    <t>Регистрация: пустой второй пароль</t>
  </si>
  <si>
    <t>TC-007</t>
  </si>
  <si>
    <t>Регистрация: через VK</t>
  </si>
  <si>
    <t>Нажать на иконку Вконтакте</t>
  </si>
  <si>
    <t>Продолжить как Илья</t>
  </si>
  <si>
    <t>TC-008</t>
  </si>
  <si>
    <t>Регистрация: пароль только из цифр</t>
  </si>
  <si>
    <t>Пароль: 123456</t>
  </si>
  <si>
    <t>Пароль еще раз: 123456</t>
  </si>
  <si>
    <t>Ввести email: ilya.proskurenko@mail.ru</t>
  </si>
  <si>
    <t>TC-009</t>
  </si>
  <si>
    <t>Пароль: 1</t>
  </si>
  <si>
    <t>Пароль еще раз: 1</t>
  </si>
  <si>
    <t>Регистрация: пароль 1 символ</t>
  </si>
  <si>
    <t>TC-010</t>
  </si>
  <si>
    <t>Регистрация: пароль 1 спец-символ</t>
  </si>
  <si>
    <t>Пароль: @</t>
  </si>
  <si>
    <t>Пароль еще раз: @</t>
  </si>
  <si>
    <t>Нет ограничений по вводу только цифр</t>
  </si>
  <si>
    <t>Можно ввести 1 символ</t>
  </si>
  <si>
    <t>Можно ввести спец-символ</t>
  </si>
  <si>
    <t>BR-001</t>
  </si>
  <si>
    <t>BR-002</t>
  </si>
  <si>
    <t>BR-003</t>
  </si>
  <si>
    <t>Поле принимает пароль только из цифр</t>
  </si>
  <si>
    <t>Поле принимает пароль состоящий из 1 символа</t>
  </si>
  <si>
    <t>Поле принимает спец-символ в пароле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</si>
</sst>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"/>
  </numFmts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2"/>
        <bgColor rgb="FFDCE6F2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00FF00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0" borderId="2" xfId="1" applyBorder="1" applyAlignment="1">
      <alignment horizontal="center" vertical="center" wrapText="1"/>
    </xf>
    <xf numFmtId="0" fontId="5" fillId="0" borderId="0" xfId="1" applyAlignment="1">
      <alignment horizontal="center" vertical="center"/>
    </xf>
    <xf numFmtId="0" fontId="5" fillId="0" borderId="2" xfId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opLeftCell="A37" workbookViewId="0">
      <selection activeCell="D45" sqref="D45"/>
    </sheetView>
  </sheetViews>
  <sheetFormatPr defaultRowHeight="15" x14ac:dyDescent="0.25"/>
  <cols>
    <col min="1" max="1" width="15.7109375" customWidth="1"/>
    <col min="2" max="3" width="25.7109375" customWidth="1"/>
    <col min="4" max="4" width="30.7109375" customWidth="1"/>
    <col min="5" max="5" width="25.7109375" customWidth="1"/>
    <col min="6" max="7" width="15.7109375" customWidth="1"/>
  </cols>
  <sheetData>
    <row r="1" spans="1:7" ht="48" thickBot="1" x14ac:dyDescent="0.3">
      <c r="A1" s="3" t="s">
        <v>0</v>
      </c>
      <c r="B1" s="3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1.5" customHeight="1" thickBot="1" x14ac:dyDescent="0.3">
      <c r="A2" s="20" t="s">
        <v>7</v>
      </c>
      <c r="B2" s="23" t="s">
        <v>8</v>
      </c>
      <c r="C2" s="23" t="s">
        <v>9</v>
      </c>
      <c r="D2" s="19" t="s">
        <v>36</v>
      </c>
      <c r="E2" s="4" t="s">
        <v>39</v>
      </c>
      <c r="F2" s="23" t="s">
        <v>10</v>
      </c>
      <c r="G2" s="23" t="s">
        <v>11</v>
      </c>
    </row>
    <row r="3" spans="1:7" ht="43.5" customHeight="1" thickBot="1" x14ac:dyDescent="0.3">
      <c r="A3" s="21"/>
      <c r="B3" s="24"/>
      <c r="C3" s="24"/>
      <c r="D3" s="4" t="s">
        <v>41</v>
      </c>
      <c r="E3" s="19" t="s">
        <v>39</v>
      </c>
      <c r="F3" s="24"/>
      <c r="G3" s="24"/>
    </row>
    <row r="4" spans="1:7" ht="41.25" customHeight="1" thickBot="1" x14ac:dyDescent="0.3">
      <c r="A4" s="21"/>
      <c r="B4" s="24"/>
      <c r="C4" s="24"/>
      <c r="D4" s="4" t="s">
        <v>42</v>
      </c>
      <c r="E4" s="19" t="s">
        <v>39</v>
      </c>
      <c r="F4" s="24"/>
      <c r="G4" s="24"/>
    </row>
    <row r="5" spans="1:7" ht="41.25" customHeight="1" thickBot="1" x14ac:dyDescent="0.3">
      <c r="A5" s="21"/>
      <c r="B5" s="24"/>
      <c r="C5" s="24"/>
      <c r="D5" s="18" t="s">
        <v>37</v>
      </c>
      <c r="E5" s="19" t="s">
        <v>39</v>
      </c>
      <c r="F5" s="24"/>
      <c r="G5" s="24"/>
    </row>
    <row r="6" spans="1:7" ht="16.5" thickBot="1" x14ac:dyDescent="0.3">
      <c r="A6" s="22"/>
      <c r="B6" s="25"/>
      <c r="C6" s="25"/>
      <c r="D6" s="4" t="s">
        <v>38</v>
      </c>
      <c r="E6" s="4" t="s">
        <v>40</v>
      </c>
      <c r="F6" s="25"/>
      <c r="G6" s="25"/>
    </row>
    <row r="7" spans="1:7" ht="48" thickBot="1" x14ac:dyDescent="0.3">
      <c r="A7" s="20" t="s">
        <v>43</v>
      </c>
      <c r="B7" s="23" t="s">
        <v>45</v>
      </c>
      <c r="C7" s="23" t="s">
        <v>9</v>
      </c>
      <c r="D7" s="19" t="s">
        <v>44</v>
      </c>
      <c r="E7" s="19" t="s">
        <v>46</v>
      </c>
      <c r="F7" s="23" t="s">
        <v>48</v>
      </c>
      <c r="G7" s="23" t="s">
        <v>11</v>
      </c>
    </row>
    <row r="8" spans="1:7" ht="32.25" thickBot="1" x14ac:dyDescent="0.3">
      <c r="A8" s="21"/>
      <c r="B8" s="24"/>
      <c r="C8" s="24"/>
      <c r="D8" s="19" t="s">
        <v>41</v>
      </c>
      <c r="E8" s="19" t="s">
        <v>39</v>
      </c>
      <c r="F8" s="24"/>
      <c r="G8" s="24"/>
    </row>
    <row r="9" spans="1:7" ht="32.25" thickBot="1" x14ac:dyDescent="0.3">
      <c r="A9" s="21"/>
      <c r="B9" s="24"/>
      <c r="C9" s="24"/>
      <c r="D9" s="19" t="s">
        <v>42</v>
      </c>
      <c r="E9" s="19" t="s">
        <v>39</v>
      </c>
      <c r="F9" s="24"/>
      <c r="G9" s="24"/>
    </row>
    <row r="10" spans="1:7" ht="32.25" thickBot="1" x14ac:dyDescent="0.3">
      <c r="A10" s="21"/>
      <c r="B10" s="24"/>
      <c r="C10" s="24"/>
      <c r="D10" s="18" t="s">
        <v>37</v>
      </c>
      <c r="E10" s="19" t="s">
        <v>39</v>
      </c>
      <c r="F10" s="24"/>
      <c r="G10" s="24"/>
    </row>
    <row r="11" spans="1:7" ht="16.5" thickBot="1" x14ac:dyDescent="0.3">
      <c r="A11" s="22"/>
      <c r="B11" s="25"/>
      <c r="C11" s="25"/>
      <c r="D11" s="19" t="s">
        <v>38</v>
      </c>
      <c r="E11" s="19" t="s">
        <v>47</v>
      </c>
      <c r="F11" s="25"/>
      <c r="G11" s="25"/>
    </row>
    <row r="12" spans="1:7" ht="48" thickBot="1" x14ac:dyDescent="0.3">
      <c r="A12" s="20" t="s">
        <v>51</v>
      </c>
      <c r="B12" s="23" t="s">
        <v>49</v>
      </c>
      <c r="C12" s="23" t="s">
        <v>9</v>
      </c>
      <c r="D12" s="19" t="s">
        <v>50</v>
      </c>
      <c r="E12" s="19" t="s">
        <v>46</v>
      </c>
      <c r="F12" s="23" t="s">
        <v>48</v>
      </c>
      <c r="G12" s="23" t="s">
        <v>11</v>
      </c>
    </row>
    <row r="13" spans="1:7" ht="32.25" thickBot="1" x14ac:dyDescent="0.3">
      <c r="A13" s="21"/>
      <c r="B13" s="24"/>
      <c r="C13" s="24"/>
      <c r="D13" s="19" t="s">
        <v>41</v>
      </c>
      <c r="E13" s="19" t="s">
        <v>39</v>
      </c>
      <c r="F13" s="24"/>
      <c r="G13" s="24"/>
    </row>
    <row r="14" spans="1:7" ht="32.25" thickBot="1" x14ac:dyDescent="0.3">
      <c r="A14" s="21"/>
      <c r="B14" s="24"/>
      <c r="C14" s="24"/>
      <c r="D14" s="19" t="s">
        <v>42</v>
      </c>
      <c r="E14" s="19" t="s">
        <v>39</v>
      </c>
      <c r="F14" s="24"/>
      <c r="G14" s="24"/>
    </row>
    <row r="15" spans="1:7" ht="32.25" thickBot="1" x14ac:dyDescent="0.3">
      <c r="A15" s="21"/>
      <c r="B15" s="24"/>
      <c r="C15" s="24"/>
      <c r="D15" s="18" t="s">
        <v>37</v>
      </c>
      <c r="E15" s="19" t="s">
        <v>39</v>
      </c>
      <c r="F15" s="24"/>
      <c r="G15" s="24"/>
    </row>
    <row r="16" spans="1:7" ht="16.5" thickBot="1" x14ac:dyDescent="0.3">
      <c r="A16" s="22"/>
      <c r="B16" s="25"/>
      <c r="C16" s="25"/>
      <c r="D16" s="19" t="s">
        <v>38</v>
      </c>
      <c r="E16" s="19" t="s">
        <v>47</v>
      </c>
      <c r="F16" s="25"/>
      <c r="G16" s="25"/>
    </row>
    <row r="17" spans="1:7" ht="32.25" thickBot="1" x14ac:dyDescent="0.3">
      <c r="A17" s="20" t="s">
        <v>52</v>
      </c>
      <c r="B17" s="23" t="s">
        <v>53</v>
      </c>
      <c r="C17" s="23" t="s">
        <v>9</v>
      </c>
      <c r="D17" s="19" t="s">
        <v>36</v>
      </c>
      <c r="E17" s="19" t="s">
        <v>39</v>
      </c>
      <c r="F17" s="23" t="s">
        <v>48</v>
      </c>
      <c r="G17" s="23" t="s">
        <v>11</v>
      </c>
    </row>
    <row r="18" spans="1:7" ht="48" thickBot="1" x14ac:dyDescent="0.3">
      <c r="A18" s="21"/>
      <c r="B18" s="24"/>
      <c r="C18" s="24"/>
      <c r="D18" s="19" t="s">
        <v>54</v>
      </c>
      <c r="E18" s="19" t="s">
        <v>46</v>
      </c>
      <c r="F18" s="24"/>
      <c r="G18" s="24"/>
    </row>
    <row r="19" spans="1:7" ht="32.25" thickBot="1" x14ac:dyDescent="0.3">
      <c r="A19" s="21"/>
      <c r="B19" s="24"/>
      <c r="C19" s="24"/>
      <c r="D19" s="19" t="s">
        <v>42</v>
      </c>
      <c r="E19" s="19" t="s">
        <v>39</v>
      </c>
      <c r="F19" s="24"/>
      <c r="G19" s="24"/>
    </row>
    <row r="20" spans="1:7" ht="32.25" thickBot="1" x14ac:dyDescent="0.3">
      <c r="A20" s="21"/>
      <c r="B20" s="24"/>
      <c r="C20" s="24"/>
      <c r="D20" s="18" t="s">
        <v>37</v>
      </c>
      <c r="E20" s="19" t="s">
        <v>39</v>
      </c>
      <c r="F20" s="24"/>
      <c r="G20" s="24"/>
    </row>
    <row r="21" spans="1:7" ht="16.5" thickBot="1" x14ac:dyDescent="0.3">
      <c r="A21" s="22"/>
      <c r="B21" s="25"/>
      <c r="C21" s="25"/>
      <c r="D21" s="19" t="s">
        <v>38</v>
      </c>
      <c r="E21" s="19" t="s">
        <v>47</v>
      </c>
      <c r="F21" s="25"/>
      <c r="G21" s="25"/>
    </row>
    <row r="22" spans="1:7" ht="32.25" thickBot="1" x14ac:dyDescent="0.3">
      <c r="A22" s="20" t="s">
        <v>55</v>
      </c>
      <c r="B22" s="23" t="s">
        <v>53</v>
      </c>
      <c r="C22" s="23" t="s">
        <v>9</v>
      </c>
      <c r="D22" s="19" t="s">
        <v>36</v>
      </c>
      <c r="E22" s="19" t="s">
        <v>39</v>
      </c>
      <c r="F22" s="23" t="s">
        <v>48</v>
      </c>
      <c r="G22" s="23" t="s">
        <v>11</v>
      </c>
    </row>
    <row r="23" spans="1:7" ht="32.25" thickBot="1" x14ac:dyDescent="0.3">
      <c r="A23" s="21"/>
      <c r="B23" s="24"/>
      <c r="C23" s="24"/>
      <c r="D23" s="19" t="s">
        <v>41</v>
      </c>
      <c r="E23" s="19" t="s">
        <v>39</v>
      </c>
      <c r="F23" s="24"/>
      <c r="G23" s="24"/>
    </row>
    <row r="24" spans="1:7" ht="48" thickBot="1" x14ac:dyDescent="0.3">
      <c r="A24" s="21"/>
      <c r="B24" s="24"/>
      <c r="C24" s="24"/>
      <c r="D24" s="19" t="s">
        <v>56</v>
      </c>
      <c r="E24" s="19" t="s">
        <v>46</v>
      </c>
      <c r="F24" s="24"/>
      <c r="G24" s="24"/>
    </row>
    <row r="25" spans="1:7" ht="32.25" thickBot="1" x14ac:dyDescent="0.3">
      <c r="A25" s="21"/>
      <c r="B25" s="24"/>
      <c r="C25" s="24"/>
      <c r="D25" s="18" t="s">
        <v>37</v>
      </c>
      <c r="E25" s="19" t="s">
        <v>39</v>
      </c>
      <c r="F25" s="24"/>
      <c r="G25" s="24"/>
    </row>
    <row r="26" spans="1:7" ht="16.5" thickBot="1" x14ac:dyDescent="0.3">
      <c r="A26" s="22"/>
      <c r="B26" s="25"/>
      <c r="C26" s="25"/>
      <c r="D26" s="19" t="s">
        <v>38</v>
      </c>
      <c r="E26" s="19" t="s">
        <v>47</v>
      </c>
      <c r="F26" s="25"/>
      <c r="G26" s="25"/>
    </row>
    <row r="27" spans="1:7" ht="32.25" thickBot="1" x14ac:dyDescent="0.3">
      <c r="A27" s="20" t="s">
        <v>57</v>
      </c>
      <c r="B27" s="23" t="s">
        <v>58</v>
      </c>
      <c r="C27" s="23" t="s">
        <v>9</v>
      </c>
      <c r="D27" s="19" t="s">
        <v>36</v>
      </c>
      <c r="E27" s="19" t="s">
        <v>39</v>
      </c>
      <c r="F27" s="23" t="s">
        <v>48</v>
      </c>
      <c r="G27" s="23" t="s">
        <v>11</v>
      </c>
    </row>
    <row r="28" spans="1:7" ht="32.25" thickBot="1" x14ac:dyDescent="0.3">
      <c r="A28" s="21"/>
      <c r="B28" s="24"/>
      <c r="C28" s="24"/>
      <c r="D28" s="19" t="s">
        <v>41</v>
      </c>
      <c r="E28" s="19" t="s">
        <v>39</v>
      </c>
      <c r="F28" s="24"/>
      <c r="G28" s="24"/>
    </row>
    <row r="29" spans="1:7" ht="48" thickBot="1" x14ac:dyDescent="0.3">
      <c r="A29" s="21"/>
      <c r="B29" s="24"/>
      <c r="C29" s="24"/>
      <c r="D29" s="19" t="s">
        <v>56</v>
      </c>
      <c r="E29" s="19" t="s">
        <v>46</v>
      </c>
      <c r="F29" s="24"/>
      <c r="G29" s="24"/>
    </row>
    <row r="30" spans="1:7" ht="32.25" thickBot="1" x14ac:dyDescent="0.3">
      <c r="A30" s="21"/>
      <c r="B30" s="24"/>
      <c r="C30" s="24"/>
      <c r="D30" s="18" t="s">
        <v>37</v>
      </c>
      <c r="E30" s="19" t="s">
        <v>39</v>
      </c>
      <c r="F30" s="24"/>
      <c r="G30" s="24"/>
    </row>
    <row r="31" spans="1:7" ht="16.5" thickBot="1" x14ac:dyDescent="0.3">
      <c r="A31" s="22"/>
      <c r="B31" s="25"/>
      <c r="C31" s="25"/>
      <c r="D31" s="19" t="s">
        <v>38</v>
      </c>
      <c r="E31" s="19" t="s">
        <v>47</v>
      </c>
      <c r="F31" s="25"/>
      <c r="G31" s="25"/>
    </row>
    <row r="32" spans="1:7" ht="32.25" customHeight="1" thickBot="1" x14ac:dyDescent="0.3">
      <c r="A32" s="20" t="s">
        <v>59</v>
      </c>
      <c r="B32" s="23" t="s">
        <v>60</v>
      </c>
      <c r="C32" s="23" t="s">
        <v>9</v>
      </c>
      <c r="D32" s="19" t="s">
        <v>61</v>
      </c>
      <c r="E32" s="19" t="s">
        <v>39</v>
      </c>
      <c r="F32" s="23" t="s">
        <v>10</v>
      </c>
      <c r="G32" s="23" t="s">
        <v>11</v>
      </c>
    </row>
    <row r="33" spans="1:7" ht="32.25" thickBot="1" x14ac:dyDescent="0.3">
      <c r="A33" s="22"/>
      <c r="B33" s="25"/>
      <c r="C33" s="25"/>
      <c r="D33" s="19" t="s">
        <v>62</v>
      </c>
      <c r="E33" s="19" t="s">
        <v>39</v>
      </c>
      <c r="F33" s="25"/>
      <c r="G33" s="25"/>
    </row>
    <row r="34" spans="1:7" ht="34.5" customHeight="1" thickBot="1" x14ac:dyDescent="0.3">
      <c r="A34" s="20" t="s">
        <v>63</v>
      </c>
      <c r="B34" s="23" t="s">
        <v>64</v>
      </c>
      <c r="C34" s="23" t="s">
        <v>9</v>
      </c>
      <c r="D34" s="19" t="s">
        <v>67</v>
      </c>
      <c r="E34" s="19" t="s">
        <v>39</v>
      </c>
      <c r="F34" s="23" t="s">
        <v>48</v>
      </c>
      <c r="G34" s="23" t="s">
        <v>11</v>
      </c>
    </row>
    <row r="35" spans="1:7" ht="52.5" customHeight="1" thickBot="1" x14ac:dyDescent="0.3">
      <c r="A35" s="21"/>
      <c r="B35" s="24"/>
      <c r="C35" s="24"/>
      <c r="D35" s="19" t="s">
        <v>65</v>
      </c>
      <c r="E35" s="19" t="s">
        <v>46</v>
      </c>
      <c r="F35" s="24"/>
      <c r="G35" s="24"/>
    </row>
    <row r="36" spans="1:7" ht="44.25" customHeight="1" thickBot="1" x14ac:dyDescent="0.3">
      <c r="A36" s="21"/>
      <c r="B36" s="24"/>
      <c r="C36" s="24"/>
      <c r="D36" s="19" t="s">
        <v>66</v>
      </c>
      <c r="E36" s="19" t="s">
        <v>46</v>
      </c>
      <c r="F36" s="24"/>
      <c r="G36" s="24"/>
    </row>
    <row r="37" spans="1:7" ht="32.25" thickBot="1" x14ac:dyDescent="0.3">
      <c r="A37" s="21"/>
      <c r="B37" s="24"/>
      <c r="C37" s="24"/>
      <c r="D37" s="18" t="s">
        <v>37</v>
      </c>
      <c r="E37" s="19" t="s">
        <v>39</v>
      </c>
      <c r="F37" s="24"/>
      <c r="G37" s="24"/>
    </row>
    <row r="38" spans="1:7" ht="30" customHeight="1" thickBot="1" x14ac:dyDescent="0.3">
      <c r="A38" s="22"/>
      <c r="B38" s="25"/>
      <c r="C38" s="25"/>
      <c r="D38" s="19" t="s">
        <v>38</v>
      </c>
      <c r="E38" s="19" t="s">
        <v>47</v>
      </c>
      <c r="F38" s="25"/>
      <c r="G38" s="25"/>
    </row>
    <row r="39" spans="1:7" ht="32.25" customHeight="1" thickBot="1" x14ac:dyDescent="0.3">
      <c r="A39" s="20" t="s">
        <v>68</v>
      </c>
      <c r="B39" s="23" t="s">
        <v>71</v>
      </c>
      <c r="C39" s="23" t="s">
        <v>9</v>
      </c>
      <c r="D39" s="19" t="s">
        <v>67</v>
      </c>
      <c r="E39" s="19" t="s">
        <v>39</v>
      </c>
      <c r="F39" s="23" t="s">
        <v>48</v>
      </c>
      <c r="G39" s="23" t="s">
        <v>11</v>
      </c>
    </row>
    <row r="40" spans="1:7" ht="48" thickBot="1" x14ac:dyDescent="0.3">
      <c r="A40" s="21"/>
      <c r="B40" s="24"/>
      <c r="C40" s="24"/>
      <c r="D40" s="19" t="s">
        <v>69</v>
      </c>
      <c r="E40" s="19" t="s">
        <v>46</v>
      </c>
      <c r="F40" s="24"/>
      <c r="G40" s="24"/>
    </row>
    <row r="41" spans="1:7" ht="48" thickBot="1" x14ac:dyDescent="0.3">
      <c r="A41" s="21"/>
      <c r="B41" s="24"/>
      <c r="C41" s="24"/>
      <c r="D41" s="19" t="s">
        <v>70</v>
      </c>
      <c r="E41" s="19" t="s">
        <v>46</v>
      </c>
      <c r="F41" s="24"/>
      <c r="G41" s="24"/>
    </row>
    <row r="42" spans="1:7" ht="32.25" thickBot="1" x14ac:dyDescent="0.3">
      <c r="A42" s="21"/>
      <c r="B42" s="24"/>
      <c r="C42" s="24"/>
      <c r="D42" s="18" t="s">
        <v>37</v>
      </c>
      <c r="E42" s="19" t="s">
        <v>39</v>
      </c>
      <c r="F42" s="24"/>
      <c r="G42" s="24"/>
    </row>
    <row r="43" spans="1:7" ht="16.5" thickBot="1" x14ac:dyDescent="0.3">
      <c r="A43" s="22"/>
      <c r="B43" s="25"/>
      <c r="C43" s="25"/>
      <c r="D43" s="19" t="s">
        <v>38</v>
      </c>
      <c r="E43" s="19" t="s">
        <v>47</v>
      </c>
      <c r="F43" s="25"/>
      <c r="G43" s="25"/>
    </row>
    <row r="44" spans="1:7" ht="32.25" thickBot="1" x14ac:dyDescent="0.3">
      <c r="A44" s="20" t="s">
        <v>72</v>
      </c>
      <c r="B44" s="23" t="s">
        <v>73</v>
      </c>
      <c r="C44" s="23" t="s">
        <v>9</v>
      </c>
      <c r="D44" s="19" t="s">
        <v>67</v>
      </c>
      <c r="E44" s="19" t="s">
        <v>39</v>
      </c>
      <c r="F44" s="23" t="s">
        <v>48</v>
      </c>
      <c r="G44" s="23" t="s">
        <v>11</v>
      </c>
    </row>
    <row r="45" spans="1:7" ht="48" thickBot="1" x14ac:dyDescent="0.3">
      <c r="A45" s="21"/>
      <c r="B45" s="24"/>
      <c r="C45" s="24"/>
      <c r="D45" s="19" t="s">
        <v>74</v>
      </c>
      <c r="E45" s="19" t="s">
        <v>46</v>
      </c>
      <c r="F45" s="24"/>
      <c r="G45" s="24"/>
    </row>
    <row r="46" spans="1:7" ht="48" thickBot="1" x14ac:dyDescent="0.3">
      <c r="A46" s="21"/>
      <c r="B46" s="24"/>
      <c r="C46" s="24"/>
      <c r="D46" s="19" t="s">
        <v>75</v>
      </c>
      <c r="E46" s="19" t="s">
        <v>46</v>
      </c>
      <c r="F46" s="24"/>
      <c r="G46" s="24"/>
    </row>
    <row r="47" spans="1:7" ht="32.25" thickBot="1" x14ac:dyDescent="0.3">
      <c r="A47" s="21"/>
      <c r="B47" s="24"/>
      <c r="C47" s="24"/>
      <c r="D47" s="18" t="s">
        <v>37</v>
      </c>
      <c r="E47" s="19" t="s">
        <v>39</v>
      </c>
      <c r="F47" s="24"/>
      <c r="G47" s="24"/>
    </row>
    <row r="48" spans="1:7" ht="16.5" thickBot="1" x14ac:dyDescent="0.3">
      <c r="A48" s="22"/>
      <c r="B48" s="25"/>
      <c r="C48" s="25"/>
      <c r="D48" s="19" t="s">
        <v>38</v>
      </c>
      <c r="E48" s="19" t="s">
        <v>47</v>
      </c>
      <c r="F48" s="25"/>
      <c r="G48" s="25"/>
    </row>
  </sheetData>
  <mergeCells count="50">
    <mergeCell ref="A44:A48"/>
    <mergeCell ref="B44:B48"/>
    <mergeCell ref="C44:C48"/>
    <mergeCell ref="F44:F48"/>
    <mergeCell ref="G44:G48"/>
    <mergeCell ref="F34:F38"/>
    <mergeCell ref="G34:G38"/>
    <mergeCell ref="A39:A43"/>
    <mergeCell ref="B39:B43"/>
    <mergeCell ref="C39:C43"/>
    <mergeCell ref="F39:F43"/>
    <mergeCell ref="G39:G43"/>
    <mergeCell ref="F32:F33"/>
    <mergeCell ref="G32:G33"/>
    <mergeCell ref="C32:C33"/>
    <mergeCell ref="B32:B33"/>
    <mergeCell ref="A32:A33"/>
    <mergeCell ref="A34:A38"/>
    <mergeCell ref="B34:B38"/>
    <mergeCell ref="C34:C38"/>
    <mergeCell ref="A27:A31"/>
    <mergeCell ref="B27:B31"/>
    <mergeCell ref="C27:C31"/>
    <mergeCell ref="F27:F31"/>
    <mergeCell ref="G27:G31"/>
    <mergeCell ref="A22:A26"/>
    <mergeCell ref="B22:B26"/>
    <mergeCell ref="C22:C26"/>
    <mergeCell ref="F22:F26"/>
    <mergeCell ref="G22:G26"/>
    <mergeCell ref="A17:A21"/>
    <mergeCell ref="B17:B21"/>
    <mergeCell ref="C17:C21"/>
    <mergeCell ref="F17:F21"/>
    <mergeCell ref="G17:G21"/>
    <mergeCell ref="A12:A16"/>
    <mergeCell ref="B12:B16"/>
    <mergeCell ref="C12:C16"/>
    <mergeCell ref="F12:F16"/>
    <mergeCell ref="G12:G16"/>
    <mergeCell ref="A7:A11"/>
    <mergeCell ref="B7:B11"/>
    <mergeCell ref="C7:C11"/>
    <mergeCell ref="F7:F11"/>
    <mergeCell ref="G7:G11"/>
    <mergeCell ref="A2:A6"/>
    <mergeCell ref="B2:B6"/>
    <mergeCell ref="C2:C6"/>
    <mergeCell ref="F2:F6"/>
    <mergeCell ref="G2:G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4E3C9-3F75-40FD-8D2C-31E347C8A3F5}">
  <dimension ref="A1:H11"/>
  <sheetViews>
    <sheetView workbookViewId="0">
      <selection activeCell="A2" sqref="A2:A11"/>
    </sheetView>
  </sheetViews>
  <sheetFormatPr defaultRowHeight="15" x14ac:dyDescent="0.25"/>
  <cols>
    <col min="1" max="8" width="20.7109375" customWidth="1"/>
  </cols>
  <sheetData>
    <row r="1" spans="1:8" ht="30" x14ac:dyDescent="0.25">
      <c r="A1" s="5" t="s">
        <v>13</v>
      </c>
      <c r="B1" s="5" t="s">
        <v>14</v>
      </c>
      <c r="C1" s="5" t="s">
        <v>15</v>
      </c>
      <c r="D1" s="6" t="s">
        <v>16</v>
      </c>
      <c r="E1" s="6" t="s">
        <v>0</v>
      </c>
      <c r="F1" s="6" t="s">
        <v>17</v>
      </c>
      <c r="G1" s="6" t="s">
        <v>18</v>
      </c>
      <c r="H1" s="5" t="s">
        <v>19</v>
      </c>
    </row>
    <row r="2" spans="1:8" ht="15" customHeight="1" x14ac:dyDescent="0.25">
      <c r="A2" s="26" t="s">
        <v>20</v>
      </c>
      <c r="B2" s="28">
        <v>46294</v>
      </c>
      <c r="C2" s="30" t="s">
        <v>21</v>
      </c>
      <c r="D2" s="32" t="s">
        <v>22</v>
      </c>
      <c r="E2" s="17" t="str">
        <f>HYPERLINK("#'Test Cases'!A2", "TC-001")</f>
        <v>TC-001</v>
      </c>
      <c r="F2" s="8" t="s">
        <v>23</v>
      </c>
      <c r="G2" s="12"/>
      <c r="H2" s="17"/>
    </row>
    <row r="3" spans="1:8" ht="15" customHeight="1" x14ac:dyDescent="0.25">
      <c r="A3" s="27"/>
      <c r="B3" s="29"/>
      <c r="C3" s="31"/>
      <c r="D3" s="33"/>
      <c r="E3" s="17" t="str">
        <f>HYPERLINK("#'Test Cases'!A11", "TC-002")</f>
        <v>TC-002</v>
      </c>
      <c r="F3" s="8" t="s">
        <v>23</v>
      </c>
      <c r="G3" s="9"/>
      <c r="H3" s="9"/>
    </row>
    <row r="4" spans="1:8" ht="15" customHeight="1" x14ac:dyDescent="0.25">
      <c r="A4" s="27"/>
      <c r="B4" s="29"/>
      <c r="C4" s="31"/>
      <c r="D4" s="33"/>
      <c r="E4" s="17" t="str">
        <f>HYPERLINK("#'Test Cases'!A13", "TC-003")</f>
        <v>TC-003</v>
      </c>
      <c r="F4" s="8" t="s">
        <v>23</v>
      </c>
      <c r="G4" s="12"/>
      <c r="H4" s="17"/>
    </row>
    <row r="5" spans="1:8" ht="15" customHeight="1" x14ac:dyDescent="0.25">
      <c r="A5" s="27"/>
      <c r="B5" s="29"/>
      <c r="C5" s="31"/>
      <c r="D5" s="33"/>
      <c r="E5" s="17" t="str">
        <f>HYPERLINK("#'Test Cases'!A17", "TC-004")</f>
        <v>TC-004</v>
      </c>
      <c r="F5" s="8" t="s">
        <v>23</v>
      </c>
      <c r="G5" s="9"/>
      <c r="H5" s="9"/>
    </row>
    <row r="6" spans="1:8" x14ac:dyDescent="0.25">
      <c r="A6" s="27"/>
      <c r="B6" s="29"/>
      <c r="C6" s="31"/>
      <c r="D6" s="33"/>
      <c r="E6" s="17" t="str">
        <f>HYPERLINK("#'Test Cases'!A22", "TC-005")</f>
        <v>TC-005</v>
      </c>
      <c r="F6" s="8" t="s">
        <v>23</v>
      </c>
      <c r="G6" s="12"/>
      <c r="H6" s="9"/>
    </row>
    <row r="7" spans="1:8" x14ac:dyDescent="0.25">
      <c r="A7" s="27"/>
      <c r="B7" s="29"/>
      <c r="C7" s="31"/>
      <c r="D7" s="33"/>
      <c r="E7" s="17" t="str">
        <f>HYPERLINK("#'Test Cases'!A27", "TC-006")</f>
        <v>TC-006</v>
      </c>
      <c r="F7" s="8" t="s">
        <v>23</v>
      </c>
      <c r="G7" s="9"/>
      <c r="H7" s="9"/>
    </row>
    <row r="8" spans="1:8" x14ac:dyDescent="0.25">
      <c r="A8" s="27"/>
      <c r="B8" s="29"/>
      <c r="C8" s="31"/>
      <c r="D8" s="33"/>
      <c r="E8" s="17" t="str">
        <f>HYPERLINK("#'Test Cases'!A32", "TC-007")</f>
        <v>TC-007</v>
      </c>
      <c r="F8" s="8" t="s">
        <v>23</v>
      </c>
      <c r="G8" s="12"/>
      <c r="H8" s="9"/>
    </row>
    <row r="9" spans="1:8" ht="30" x14ac:dyDescent="0.25">
      <c r="A9" s="27"/>
      <c r="B9" s="29"/>
      <c r="C9" s="31"/>
      <c r="D9" s="33"/>
      <c r="E9" s="17" t="str">
        <f>HYPERLINK("#'Test Cases'!A34", "TC-008")</f>
        <v>TC-008</v>
      </c>
      <c r="F9" s="14" t="s">
        <v>35</v>
      </c>
      <c r="G9" s="12" t="s">
        <v>76</v>
      </c>
      <c r="H9" s="9"/>
    </row>
    <row r="10" spans="1:8" ht="30" x14ac:dyDescent="0.25">
      <c r="A10" s="27"/>
      <c r="B10" s="29"/>
      <c r="C10" s="31"/>
      <c r="D10" s="33"/>
      <c r="E10" s="17" t="str">
        <f>HYPERLINK("#'Test Cases'!A39", "TC-009")</f>
        <v>TC-009</v>
      </c>
      <c r="F10" s="14" t="s">
        <v>35</v>
      </c>
      <c r="G10" s="12" t="s">
        <v>77</v>
      </c>
      <c r="H10" s="9"/>
    </row>
    <row r="11" spans="1:8" ht="30" x14ac:dyDescent="0.25">
      <c r="A11" s="27"/>
      <c r="B11" s="29"/>
      <c r="C11" s="31"/>
      <c r="D11" s="33"/>
      <c r="E11" s="17" t="str">
        <f>HYPERLINK("#'Test Cases'!A44", "TC-010")</f>
        <v>TC-010</v>
      </c>
      <c r="F11" s="14" t="s">
        <v>35</v>
      </c>
      <c r="G11" s="12" t="s">
        <v>78</v>
      </c>
      <c r="H11" s="9"/>
    </row>
  </sheetData>
  <mergeCells count="4">
    <mergeCell ref="D2:D11"/>
    <mergeCell ref="C2:C11"/>
    <mergeCell ref="B2:B11"/>
    <mergeCell ref="A2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0589-F18C-406A-BC4E-9B3B4D6DE971}">
  <dimension ref="A1:M4"/>
  <sheetViews>
    <sheetView tabSelected="1" workbookViewId="0">
      <selection activeCell="K10" sqref="K10"/>
    </sheetView>
  </sheetViews>
  <sheetFormatPr defaultRowHeight="15" x14ac:dyDescent="0.25"/>
  <cols>
    <col min="1" max="13" width="20.7109375" customWidth="1"/>
  </cols>
  <sheetData>
    <row r="1" spans="1:13" ht="45.75" thickBot="1" x14ac:dyDescent="0.3">
      <c r="A1" s="5" t="s">
        <v>19</v>
      </c>
      <c r="B1" s="5" t="s">
        <v>1</v>
      </c>
      <c r="C1" s="5" t="s">
        <v>24</v>
      </c>
      <c r="D1" s="6" t="s">
        <v>13</v>
      </c>
      <c r="E1" s="6" t="s">
        <v>2</v>
      </c>
      <c r="F1" s="6" t="s">
        <v>25</v>
      </c>
      <c r="G1" s="6" t="s">
        <v>4</v>
      </c>
      <c r="H1" s="5" t="s">
        <v>26</v>
      </c>
      <c r="I1" s="5" t="s">
        <v>27</v>
      </c>
      <c r="J1" s="5" t="s">
        <v>6</v>
      </c>
      <c r="K1" s="5" t="s">
        <v>28</v>
      </c>
      <c r="L1" s="6" t="s">
        <v>29</v>
      </c>
      <c r="M1" s="6" t="s">
        <v>30</v>
      </c>
    </row>
    <row r="2" spans="1:13" ht="48" thickBot="1" x14ac:dyDescent="0.3">
      <c r="A2" s="16" t="s">
        <v>79</v>
      </c>
      <c r="B2" s="10" t="s">
        <v>64</v>
      </c>
      <c r="C2" s="15" t="str">
        <f>HYPERLINK("#'Test Cases'!A34", "TC-008")</f>
        <v>TC-008</v>
      </c>
      <c r="D2" s="15" t="str">
        <f>HYPERLINK("#'Test Run'!A2", "TR-001")</f>
        <v>TR-001</v>
      </c>
      <c r="E2" s="11" t="s">
        <v>31</v>
      </c>
      <c r="F2" s="19" t="s">
        <v>65</v>
      </c>
      <c r="G2" s="4" t="s">
        <v>12</v>
      </c>
      <c r="H2" s="12" t="s">
        <v>82</v>
      </c>
      <c r="I2" s="7" t="s">
        <v>32</v>
      </c>
      <c r="J2" s="7" t="s">
        <v>33</v>
      </c>
      <c r="K2" s="12" t="s">
        <v>34</v>
      </c>
      <c r="L2" s="12"/>
      <c r="M2" s="13">
        <v>46294</v>
      </c>
    </row>
    <row r="3" spans="1:13" ht="48" thickBot="1" x14ac:dyDescent="0.3">
      <c r="A3" s="16" t="s">
        <v>80</v>
      </c>
      <c r="B3" s="10" t="s">
        <v>71</v>
      </c>
      <c r="C3" s="15" t="str">
        <f>HYPERLINK("#'Test Cases'!A39", "TC-009")</f>
        <v>TC-009</v>
      </c>
      <c r="D3" s="15" t="str">
        <f>HYPERLINK("#'Test Run'!A2", "TR-001")</f>
        <v>TR-001</v>
      </c>
      <c r="E3" s="11" t="s">
        <v>31</v>
      </c>
      <c r="F3" s="19" t="s">
        <v>69</v>
      </c>
      <c r="G3" s="4" t="s">
        <v>12</v>
      </c>
      <c r="H3" s="12" t="s">
        <v>83</v>
      </c>
      <c r="I3" s="7" t="s">
        <v>32</v>
      </c>
      <c r="J3" s="7" t="s">
        <v>33</v>
      </c>
      <c r="K3" s="12" t="s">
        <v>34</v>
      </c>
      <c r="L3" s="12"/>
      <c r="M3" s="13">
        <v>46294</v>
      </c>
    </row>
    <row r="4" spans="1:13" ht="48" thickBot="1" x14ac:dyDescent="0.3">
      <c r="A4" s="16" t="s">
        <v>81</v>
      </c>
      <c r="B4" s="10" t="s">
        <v>73</v>
      </c>
      <c r="C4" s="17" t="str">
        <f>HYPERLINK("#'Test Cases'!A44", "TC-010")</f>
        <v>TC-010</v>
      </c>
      <c r="D4" s="15" t="str">
        <f>HYPERLINK("#'Test Run'!A2", "TR-001")</f>
        <v>TR-001</v>
      </c>
      <c r="E4" s="11" t="s">
        <v>31</v>
      </c>
      <c r="F4" s="19" t="s">
        <v>74</v>
      </c>
      <c r="G4" s="19" t="s">
        <v>12</v>
      </c>
      <c r="H4" s="12" t="s">
        <v>84</v>
      </c>
      <c r="I4" s="7" t="s">
        <v>32</v>
      </c>
      <c r="J4" s="7" t="s">
        <v>33</v>
      </c>
      <c r="K4" s="12" t="s">
        <v>34</v>
      </c>
      <c r="L4" s="12"/>
      <c r="M4" s="13">
        <v>46294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Test Cases</vt:lpstr>
      <vt:lpstr>Test Run</vt:lpstr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 Neo</dc:creator>
  <cp:lastModifiedBy>Burn Neo</cp:lastModifiedBy>
  <dcterms:created xsi:type="dcterms:W3CDTF">2015-06-05T18:17:20Z</dcterms:created>
  <dcterms:modified xsi:type="dcterms:W3CDTF">2026-09-29T14:30:03Z</dcterms:modified>
</cp:coreProperties>
</file>