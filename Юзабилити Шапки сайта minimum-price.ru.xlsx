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48" documentId="11_F25DC773A252ABDACC10481E791F7A445ADE58EB" xr6:coauthVersionLast="47" xr6:coauthVersionMax="47" xr10:uidLastSave="{3ED02C4A-3F2B-492D-901B-B93811F2B772}"/>
  <bookViews>
    <workbookView xWindow="-120" yWindow="-120" windowWidth="29040" windowHeight="15840" activeTab="1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2" l="1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<sst xmlns="http://schemas.openxmlformats.org/spreadsheetml/2006/main" count="173" uniqueCount="99">
  <si>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</si>
  <si>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</si>
  <si>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</si>
  <si>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</si>
  <si>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</si>
  <si>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</si>
  <si>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</si>
  <si>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TC-010</t>
  </si>
  <si>
    <t>Открыта любая внутренняя страница сайта</t>
  </si>
  <si>
    <t>Курсор изменяется, показывая что элемент активный</t>
  </si>
  <si>
    <t>High</t>
  </si>
  <si>
    <t>2) Кликнуть по данному пункту меню</t>
  </si>
  <si>
    <t>TC-001</t>
  </si>
  <si>
    <t>TC-011</t>
  </si>
  <si>
    <t>Логотип: кликабелен, ведет на главную страницу</t>
  </si>
  <si>
    <t>1) Навести курсор на логотип</t>
  </si>
  <si>
    <t>Пользователь возвращается на главную страницу</t>
  </si>
  <si>
    <t>Low</t>
  </si>
  <si>
    <t>2) Нажать на логотип</t>
  </si>
  <si>
    <t>Происходит переход на главную страницу сайта</t>
  </si>
  <si>
    <t>3) Проверить работоспособность ссылки после перехода</t>
  </si>
  <si>
    <t>Главная страница загружается без ошибок, логотип и навигация доступны, сайт не зависает и не выдает ошибок</t>
  </si>
  <si>
    <t>TC-002</t>
  </si>
  <si>
    <t>TC-003</t>
  </si>
  <si>
    <t>TC-004</t>
  </si>
  <si>
    <t>TC-005</t>
  </si>
  <si>
    <t>TC-006</t>
  </si>
  <si>
    <t>TC-007</t>
  </si>
  <si>
    <t>TC-008</t>
  </si>
  <si>
    <t>TC-012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</si>
  <si>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</si>
  <si>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</si>
  <si>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</si>
  <si>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</si>
  <si>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</si>
  <si>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</si>
  <si>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</si>
  <si>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</si>
  <si>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</si>
  <si>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</si>
  <si>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TC-014</t>
  </si>
  <si>
    <t>Юзабилити: шапка сайта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</si>
  <si>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</si>
  <si>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</si>
  <si>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</si>
  <si>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</si>
  <si>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</si>
  <si>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</si>
  <si>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</si>
  <si>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 xml:space="preserve">Меню: ссылка «Поиск» 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</si>
  <si>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Поиск</t>
    </r>
    <r>
      <rPr>
        <sz val="12"/>
        <color theme="1"/>
        <rFont val="Liberation Serif"/>
        <family val="1"/>
        <charset val="204"/>
      </rPr>
      <t>»</t>
    </r>
  </si>
  <si>
    <t xml:space="preserve">2) Кликнуть по данному пункту меню </t>
  </si>
  <si>
    <t>Показывает что есть возможность писать в поле Поиск</t>
  </si>
  <si>
    <t>Меню: ссылка «Обзоры» ведет на страницу Обзоры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</si>
  <si>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Обзоры</t>
    </r>
    <r>
      <rPr>
        <sz val="12"/>
        <color theme="1"/>
        <rFont val="Liberation Serif"/>
        <family val="1"/>
        <charset val="204"/>
      </rPr>
      <t>»</t>
    </r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</si>
  <si>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Обзоры</t>
    </r>
  </si>
  <si>
    <t>Пользователь находится на странице Обзоры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</si>
  <si>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Форум</t>
    </r>
    <r>
      <rPr>
        <sz val="12"/>
        <color theme="1"/>
        <rFont val="Liberation Serif"/>
        <family val="1"/>
        <charset val="204"/>
      </rPr>
      <t>»</t>
    </r>
  </si>
  <si>
    <t>Открывается страница Форум</t>
  </si>
  <si>
    <t>Пользователь находится на странице Форум</t>
  </si>
  <si>
    <t>Меню: ссылка «Купоны» ведет на страницу Купоны</t>
  </si>
  <si>
    <t>Меню: ссылка «Форум» ведет на страницу Форум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</si>
  <si>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Купоны</t>
    </r>
    <r>
      <rPr>
        <sz val="12"/>
        <color theme="1"/>
        <rFont val="Liberation Serif"/>
        <family val="1"/>
        <charset val="204"/>
      </rPr>
      <t>»</t>
    </r>
  </si>
  <si>
    <t>Открывается страница Купоны</t>
  </si>
  <si>
    <t>Пользователь находится на странице Купоны</t>
  </si>
  <si>
    <t>Меню: ссылка «Распродажи» ведет на страницу Распродажи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</si>
  <si>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Распродажи</t>
    </r>
    <r>
      <rPr>
        <sz val="12"/>
        <color theme="1"/>
        <rFont val="Liberation Serif"/>
        <family val="1"/>
        <charset val="204"/>
      </rPr>
      <t>»</t>
    </r>
  </si>
  <si>
    <t>Открывается страница Распродажи</t>
  </si>
  <si>
    <t>Пользователь находится на странице Распродажи</t>
  </si>
  <si>
    <t>Меню: ссылка «Магазины» ведет на страницу Магазины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</si>
  <si>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Магазины</t>
    </r>
    <r>
      <rPr>
        <sz val="12"/>
        <color theme="1"/>
        <rFont val="Liberation Serif"/>
        <family val="1"/>
        <charset val="204"/>
      </rPr>
      <t>»</t>
    </r>
  </si>
  <si>
    <t>Открывается страница Магазины</t>
  </si>
  <si>
    <t>Пользователь находится на странице Магазины</t>
  </si>
  <si>
    <t>Меню: ссылка «Вопросы» ведет на страницу Вопросы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</si>
  <si>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Вопросы</t>
    </r>
    <r>
      <rPr>
        <sz val="12"/>
        <color theme="1"/>
        <rFont val="Liberation Serif"/>
        <family val="1"/>
        <charset val="204"/>
      </rPr>
      <t>»</t>
    </r>
  </si>
  <si>
    <t>2) Кликнуть по данному пункту меню Вопросы</t>
  </si>
  <si>
    <t>Открывается страница Вопросы</t>
  </si>
  <si>
    <t>Пользователь находится на странице Вопросы</t>
  </si>
  <si>
    <t>2) Оставить курсор наведенным на пункт меню «Обзоры»</t>
  </si>
  <si>
    <t xml:space="preserve">Показывается подсказка </t>
  </si>
  <si>
    <t>Пользователь видит подсказку у пункта меню «Обзоры»</t>
  </si>
  <si>
    <t>2) Оставить курсор наведенным на пункт меню «Форум»</t>
  </si>
  <si>
    <t>Пользователь видит подсказку у пункта меню «Форум»</t>
  </si>
  <si>
    <t>TC-009</t>
  </si>
  <si>
    <t>2) Оставить курсор наведенным на пункт меню «Купоны»</t>
  </si>
  <si>
    <t>Пользователь видит подсказку у пункта меню «Купоны»</t>
  </si>
  <si>
    <t>2) Оставить курсор наведенным на пункт меню «Распродажи»</t>
  </si>
  <si>
    <t>Пользователь видит подсказку у пункта меню «Распродажи»</t>
  </si>
  <si>
    <t>2) Оставить курсор наведенным на пункт меню «Магазины»</t>
  </si>
  <si>
    <t>Пользователь видит подсказку у пункта меню «Магазины»</t>
  </si>
  <si>
    <t>TC-013</t>
  </si>
  <si>
    <t>2) Оставить курсор наведенным на пункт меню «Вопросы»</t>
  </si>
  <si>
    <t>Пользователь видит подсказку у пункта меню «Вопросы»</t>
  </si>
  <si>
    <t>Меню: ссылка «Обзоры» подсказка</t>
  </si>
  <si>
    <t>Меню: ссылка «Форум» вподсказка</t>
  </si>
  <si>
    <t>Меню: ссылка «Купоны» подсказка</t>
  </si>
  <si>
    <t>Меню: ссылка «Распродажи» подсказка</t>
  </si>
  <si>
    <t>Меню: ссылка «Магазины» подсказка</t>
  </si>
  <si>
    <t>Меню: ссылка «Вопросы» подсказка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</si>
</sst>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Liberation Serif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/>
    <xf numFmtId="0" fontId="6" fillId="0" borderId="3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6" fillId="0" borderId="0" xfId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64" fontId="0" fillId="0" borderId="0" xfId="0" applyNumberForma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27" workbookViewId="0">
      <selection activeCell="J38" sqref="J38"/>
    </sheetView>
  </sheetViews>
  <sheetFormatPr defaultRowHeight="15" x14ac:dyDescent="0.25"/>
  <cols>
    <col min="1" max="7" width="25.7109375" customWidth="1"/>
  </cols>
  <sheetData>
    <row r="1" spans="1:7" ht="47.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5" x14ac:dyDescent="0.25">
      <c r="A2" s="17" t="s">
        <v>12</v>
      </c>
      <c r="B2" s="18" t="s">
        <v>53</v>
      </c>
      <c r="C2" s="18" t="s">
        <v>8</v>
      </c>
      <c r="D2" s="4" t="s">
        <v>54</v>
      </c>
      <c r="E2" s="4" t="s">
        <v>9</v>
      </c>
      <c r="F2" s="18" t="s">
        <v>56</v>
      </c>
      <c r="G2" s="19" t="s">
        <v>10</v>
      </c>
    </row>
    <row r="3" spans="1:7" ht="30.75" x14ac:dyDescent="0.25">
      <c r="A3" s="17"/>
      <c r="B3" s="18"/>
      <c r="C3" s="18"/>
      <c r="D3" s="4" t="s">
        <v>11</v>
      </c>
      <c r="E3" s="4" t="s">
        <v>55</v>
      </c>
      <c r="F3" s="18"/>
      <c r="G3" s="19"/>
    </row>
    <row r="4" spans="1:7" ht="47.25" x14ac:dyDescent="0.25">
      <c r="A4" s="17" t="s">
        <v>22</v>
      </c>
      <c r="B4" s="18" t="s">
        <v>14</v>
      </c>
      <c r="C4" s="18" t="s">
        <v>8</v>
      </c>
      <c r="D4" s="5" t="s">
        <v>15</v>
      </c>
      <c r="E4" s="5" t="s">
        <v>9</v>
      </c>
      <c r="F4" s="18" t="s">
        <v>16</v>
      </c>
      <c r="G4" s="19" t="s">
        <v>17</v>
      </c>
    </row>
    <row r="5" spans="1:7" ht="31.5" x14ac:dyDescent="0.25">
      <c r="A5" s="17"/>
      <c r="B5" s="18"/>
      <c r="C5" s="18"/>
      <c r="D5" s="5" t="s">
        <v>18</v>
      </c>
      <c r="E5" s="5" t="s">
        <v>19</v>
      </c>
      <c r="F5" s="18"/>
      <c r="G5" s="19"/>
    </row>
    <row r="6" spans="1:7" ht="94.5" x14ac:dyDescent="0.25">
      <c r="A6" s="17"/>
      <c r="B6" s="18"/>
      <c r="C6" s="18"/>
      <c r="D6" s="5" t="s">
        <v>20</v>
      </c>
      <c r="E6" s="5" t="s">
        <v>21</v>
      </c>
      <c r="F6" s="18"/>
      <c r="G6" s="19"/>
    </row>
    <row r="7" spans="1:7" ht="45" x14ac:dyDescent="0.25">
      <c r="A7" s="17" t="s">
        <v>23</v>
      </c>
      <c r="B7" s="18" t="s">
        <v>61</v>
      </c>
      <c r="C7" s="18" t="s">
        <v>8</v>
      </c>
      <c r="D7" s="4" t="s">
        <v>57</v>
      </c>
      <c r="E7" s="4" t="s">
        <v>9</v>
      </c>
      <c r="F7" s="18" t="s">
        <v>59</v>
      </c>
      <c r="G7" s="19" t="s">
        <v>10</v>
      </c>
    </row>
    <row r="8" spans="1:7" ht="30" x14ac:dyDescent="0.25">
      <c r="A8" s="17"/>
      <c r="B8" s="18"/>
      <c r="C8" s="18"/>
      <c r="D8" s="4" t="s">
        <v>11</v>
      </c>
      <c r="E8" s="4" t="s">
        <v>58</v>
      </c>
      <c r="F8" s="18"/>
      <c r="G8" s="19"/>
    </row>
    <row r="9" spans="1:7" ht="45" x14ac:dyDescent="0.25">
      <c r="A9" s="17" t="s">
        <v>24</v>
      </c>
      <c r="B9" s="18" t="s">
        <v>60</v>
      </c>
      <c r="C9" s="18" t="s">
        <v>8</v>
      </c>
      <c r="D9" s="4" t="s">
        <v>62</v>
      </c>
      <c r="E9" s="4" t="s">
        <v>9</v>
      </c>
      <c r="F9" s="18" t="s">
        <v>64</v>
      </c>
      <c r="G9" s="19" t="s">
        <v>10</v>
      </c>
    </row>
    <row r="10" spans="1:7" ht="30" x14ac:dyDescent="0.25">
      <c r="A10" s="17"/>
      <c r="B10" s="18"/>
      <c r="C10" s="18"/>
      <c r="D10" s="4" t="s">
        <v>11</v>
      </c>
      <c r="E10" s="4" t="s">
        <v>63</v>
      </c>
      <c r="F10" s="18"/>
      <c r="G10" s="19"/>
    </row>
    <row r="11" spans="1:7" ht="45.75" x14ac:dyDescent="0.25">
      <c r="A11" s="17" t="s">
        <v>25</v>
      </c>
      <c r="B11" s="18" t="s">
        <v>65</v>
      </c>
      <c r="C11" s="18" t="s">
        <v>8</v>
      </c>
      <c r="D11" s="4" t="s">
        <v>66</v>
      </c>
      <c r="E11" s="4" t="s">
        <v>9</v>
      </c>
      <c r="F11" s="18" t="s">
        <v>68</v>
      </c>
      <c r="G11" s="19" t="s">
        <v>10</v>
      </c>
    </row>
    <row r="12" spans="1:7" ht="30" x14ac:dyDescent="0.25">
      <c r="A12" s="17"/>
      <c r="B12" s="18"/>
      <c r="C12" s="18"/>
      <c r="D12" s="4" t="s">
        <v>11</v>
      </c>
      <c r="E12" s="4" t="s">
        <v>67</v>
      </c>
      <c r="F12" s="18"/>
      <c r="G12" s="19"/>
    </row>
    <row r="13" spans="1:7" ht="45" x14ac:dyDescent="0.25">
      <c r="A13" s="17" t="s">
        <v>26</v>
      </c>
      <c r="B13" s="18" t="s">
        <v>69</v>
      </c>
      <c r="C13" s="18" t="s">
        <v>8</v>
      </c>
      <c r="D13" s="4" t="s">
        <v>70</v>
      </c>
      <c r="E13" s="4" t="s">
        <v>9</v>
      </c>
      <c r="F13" s="18" t="s">
        <v>72</v>
      </c>
      <c r="G13" s="19" t="s">
        <v>10</v>
      </c>
    </row>
    <row r="14" spans="1:7" ht="30" x14ac:dyDescent="0.25">
      <c r="A14" s="17"/>
      <c r="B14" s="18"/>
      <c r="C14" s="18"/>
      <c r="D14" s="4" t="s">
        <v>11</v>
      </c>
      <c r="E14" s="4" t="s">
        <v>71</v>
      </c>
      <c r="F14" s="18"/>
      <c r="G14" s="19"/>
    </row>
    <row r="15" spans="1:7" ht="45.75" customHeight="1" x14ac:dyDescent="0.25">
      <c r="A15" s="17" t="s">
        <v>27</v>
      </c>
      <c r="B15" s="18" t="s">
        <v>73</v>
      </c>
      <c r="C15" s="18" t="s">
        <v>8</v>
      </c>
      <c r="D15" s="4" t="s">
        <v>74</v>
      </c>
      <c r="E15" s="4" t="s">
        <v>9</v>
      </c>
      <c r="F15" s="18" t="s">
        <v>77</v>
      </c>
      <c r="G15" s="19" t="s">
        <v>10</v>
      </c>
    </row>
    <row r="16" spans="1:7" ht="30" x14ac:dyDescent="0.25">
      <c r="A16" s="17"/>
      <c r="B16" s="18"/>
      <c r="C16" s="18"/>
      <c r="D16" s="4" t="s">
        <v>75</v>
      </c>
      <c r="E16" s="4" t="s">
        <v>76</v>
      </c>
      <c r="F16" s="18"/>
      <c r="G16" s="19"/>
    </row>
    <row r="17" spans="1:7" ht="45.75" customHeight="1" x14ac:dyDescent="0.25">
      <c r="A17" s="17" t="s">
        <v>28</v>
      </c>
      <c r="B17" s="18" t="s">
        <v>49</v>
      </c>
      <c r="C17" s="18" t="s">
        <v>8</v>
      </c>
      <c r="D17" s="4" t="s">
        <v>50</v>
      </c>
      <c r="E17" s="4" t="s">
        <v>9</v>
      </c>
      <c r="F17" s="18" t="s">
        <v>8</v>
      </c>
      <c r="G17" s="19" t="s">
        <v>10</v>
      </c>
    </row>
    <row r="18" spans="1:7" ht="45" x14ac:dyDescent="0.25">
      <c r="A18" s="17"/>
      <c r="B18" s="18"/>
      <c r="C18" s="18"/>
      <c r="D18" s="4" t="s">
        <v>51</v>
      </c>
      <c r="E18" s="4" t="s">
        <v>52</v>
      </c>
      <c r="F18" s="18"/>
      <c r="G18" s="19"/>
    </row>
    <row r="19" spans="1:7" ht="45" customHeight="1" x14ac:dyDescent="0.25">
      <c r="A19" s="17" t="s">
        <v>83</v>
      </c>
      <c r="B19" s="18" t="s">
        <v>93</v>
      </c>
      <c r="C19" s="18" t="s">
        <v>8</v>
      </c>
      <c r="D19" s="4" t="s">
        <v>54</v>
      </c>
      <c r="E19" s="4" t="s">
        <v>9</v>
      </c>
      <c r="F19" s="18" t="s">
        <v>80</v>
      </c>
      <c r="G19" s="32" t="s">
        <v>17</v>
      </c>
    </row>
    <row r="20" spans="1:7" ht="45" x14ac:dyDescent="0.25">
      <c r="A20" s="17"/>
      <c r="B20" s="18"/>
      <c r="C20" s="18"/>
      <c r="D20" s="4" t="s">
        <v>78</v>
      </c>
      <c r="E20" s="4" t="s">
        <v>79</v>
      </c>
      <c r="F20" s="18"/>
      <c r="G20" s="33"/>
    </row>
    <row r="21" spans="1:7" ht="45" customHeight="1" x14ac:dyDescent="0.25">
      <c r="A21" s="17" t="s">
        <v>7</v>
      </c>
      <c r="B21" s="18" t="s">
        <v>94</v>
      </c>
      <c r="C21" s="18" t="s">
        <v>8</v>
      </c>
      <c r="D21" s="4" t="s">
        <v>57</v>
      </c>
      <c r="E21" s="4" t="s">
        <v>9</v>
      </c>
      <c r="F21" s="18" t="s">
        <v>82</v>
      </c>
      <c r="G21" s="32" t="s">
        <v>17</v>
      </c>
    </row>
    <row r="22" spans="1:7" ht="45" x14ac:dyDescent="0.25">
      <c r="A22" s="17"/>
      <c r="B22" s="18"/>
      <c r="C22" s="18"/>
      <c r="D22" s="4" t="s">
        <v>81</v>
      </c>
      <c r="E22" s="4" t="s">
        <v>79</v>
      </c>
      <c r="F22" s="18"/>
      <c r="G22" s="33"/>
    </row>
    <row r="23" spans="1:7" ht="45" customHeight="1" x14ac:dyDescent="0.25">
      <c r="A23" s="17" t="s">
        <v>13</v>
      </c>
      <c r="B23" s="18" t="s">
        <v>95</v>
      </c>
      <c r="C23" s="18" t="s">
        <v>8</v>
      </c>
      <c r="D23" s="4" t="s">
        <v>62</v>
      </c>
      <c r="E23" s="4" t="s">
        <v>9</v>
      </c>
      <c r="F23" s="18" t="s">
        <v>85</v>
      </c>
      <c r="G23" s="32" t="s">
        <v>17</v>
      </c>
    </row>
    <row r="24" spans="1:7" ht="45" x14ac:dyDescent="0.25">
      <c r="A24" s="17"/>
      <c r="B24" s="18"/>
      <c r="C24" s="18"/>
      <c r="D24" s="4" t="s">
        <v>84</v>
      </c>
      <c r="E24" s="4" t="s">
        <v>79</v>
      </c>
      <c r="F24" s="18"/>
      <c r="G24" s="33"/>
    </row>
    <row r="25" spans="1:7" ht="46.5" customHeight="1" x14ac:dyDescent="0.25">
      <c r="A25" s="17" t="s">
        <v>29</v>
      </c>
      <c r="B25" s="18" t="s">
        <v>96</v>
      </c>
      <c r="C25" s="18" t="s">
        <v>8</v>
      </c>
      <c r="D25" s="4" t="s">
        <v>66</v>
      </c>
      <c r="E25" s="4" t="s">
        <v>9</v>
      </c>
      <c r="F25" s="18" t="s">
        <v>87</v>
      </c>
      <c r="G25" s="32" t="s">
        <v>17</v>
      </c>
    </row>
    <row r="26" spans="1:7" ht="45" x14ac:dyDescent="0.25">
      <c r="A26" s="17"/>
      <c r="B26" s="18"/>
      <c r="C26" s="18"/>
      <c r="D26" s="4" t="s">
        <v>86</v>
      </c>
      <c r="E26" s="4" t="s">
        <v>79</v>
      </c>
      <c r="F26" s="18"/>
      <c r="G26" s="33"/>
    </row>
    <row r="27" spans="1:7" ht="45" x14ac:dyDescent="0.25">
      <c r="A27" s="17" t="s">
        <v>90</v>
      </c>
      <c r="B27" s="18" t="s">
        <v>97</v>
      </c>
      <c r="C27" s="18" t="s">
        <v>8</v>
      </c>
      <c r="D27" s="4" t="s">
        <v>70</v>
      </c>
      <c r="E27" s="4" t="s">
        <v>9</v>
      </c>
      <c r="F27" s="18" t="s">
        <v>89</v>
      </c>
      <c r="G27" s="32" t="s">
        <v>17</v>
      </c>
    </row>
    <row r="28" spans="1:7" ht="45" x14ac:dyDescent="0.25">
      <c r="A28" s="17"/>
      <c r="B28" s="18"/>
      <c r="C28" s="18"/>
      <c r="D28" s="4" t="s">
        <v>88</v>
      </c>
      <c r="E28" s="4" t="s">
        <v>79</v>
      </c>
      <c r="F28" s="18"/>
      <c r="G28" s="33"/>
    </row>
    <row r="29" spans="1:7" ht="45" x14ac:dyDescent="0.25">
      <c r="A29" s="17" t="s">
        <v>40</v>
      </c>
      <c r="B29" s="18" t="s">
        <v>98</v>
      </c>
      <c r="C29" s="18" t="s">
        <v>8</v>
      </c>
      <c r="D29" s="4" t="s">
        <v>74</v>
      </c>
      <c r="E29" s="4" t="s">
        <v>9</v>
      </c>
      <c r="F29" s="18" t="s">
        <v>92</v>
      </c>
      <c r="G29" s="32" t="s">
        <v>17</v>
      </c>
    </row>
    <row r="30" spans="1:7" ht="45" x14ac:dyDescent="0.25">
      <c r="A30" s="17"/>
      <c r="B30" s="18"/>
      <c r="C30" s="18"/>
      <c r="D30" s="4" t="s">
        <v>91</v>
      </c>
      <c r="E30" s="4" t="s">
        <v>79</v>
      </c>
      <c r="F30" s="18"/>
      <c r="G30" s="33"/>
    </row>
    <row r="35" ht="46.5" customHeight="1" x14ac:dyDescent="0.25"/>
  </sheetData>
  <mergeCells count="70">
    <mergeCell ref="A29:A30"/>
    <mergeCell ref="B29:B30"/>
    <mergeCell ref="C29:C30"/>
    <mergeCell ref="F29:F30"/>
    <mergeCell ref="G29:G30"/>
    <mergeCell ref="A27:A28"/>
    <mergeCell ref="B27:B28"/>
    <mergeCell ref="C27:C28"/>
    <mergeCell ref="F27:F28"/>
    <mergeCell ref="G27:G28"/>
    <mergeCell ref="A7:A8"/>
    <mergeCell ref="B7:B8"/>
    <mergeCell ref="C7:C8"/>
    <mergeCell ref="F7:F8"/>
    <mergeCell ref="G7:G8"/>
    <mergeCell ref="A2:A3"/>
    <mergeCell ref="B2:B3"/>
    <mergeCell ref="C2:C3"/>
    <mergeCell ref="F2:F3"/>
    <mergeCell ref="G2:G3"/>
    <mergeCell ref="A4:A6"/>
    <mergeCell ref="B4:B6"/>
    <mergeCell ref="C4:C6"/>
    <mergeCell ref="F4:F6"/>
    <mergeCell ref="G4:G6"/>
    <mergeCell ref="A9:A10"/>
    <mergeCell ref="B9:B10"/>
    <mergeCell ref="C9:C10"/>
    <mergeCell ref="F9:F10"/>
    <mergeCell ref="G9:G10"/>
    <mergeCell ref="A11:A12"/>
    <mergeCell ref="B11:B12"/>
    <mergeCell ref="C11:C12"/>
    <mergeCell ref="F11:F12"/>
    <mergeCell ref="G11:G12"/>
    <mergeCell ref="A13:A14"/>
    <mergeCell ref="B13:B14"/>
    <mergeCell ref="C13:C14"/>
    <mergeCell ref="F13:F14"/>
    <mergeCell ref="G13:G14"/>
    <mergeCell ref="A21:A22"/>
    <mergeCell ref="B21:B22"/>
    <mergeCell ref="C21:C22"/>
    <mergeCell ref="F21:F22"/>
    <mergeCell ref="G21:G22"/>
    <mergeCell ref="A15:A16"/>
    <mergeCell ref="B15:B16"/>
    <mergeCell ref="C15:C16"/>
    <mergeCell ref="F15:F16"/>
    <mergeCell ref="G15:G16"/>
    <mergeCell ref="A19:A20"/>
    <mergeCell ref="B19:B20"/>
    <mergeCell ref="C19:C20"/>
    <mergeCell ref="F19:F20"/>
    <mergeCell ref="G19:G20"/>
    <mergeCell ref="A17:A18"/>
    <mergeCell ref="B17:B18"/>
    <mergeCell ref="C17:C18"/>
    <mergeCell ref="F17:F18"/>
    <mergeCell ref="G17:G18"/>
    <mergeCell ref="A23:A24"/>
    <mergeCell ref="B23:B24"/>
    <mergeCell ref="C23:C24"/>
    <mergeCell ref="F23:F24"/>
    <mergeCell ref="G23:G24"/>
    <mergeCell ref="A25:A26"/>
    <mergeCell ref="B25:B26"/>
    <mergeCell ref="C25:C26"/>
    <mergeCell ref="F25:F26"/>
    <mergeCell ref="G25: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1C66-7C95-4417-BC35-1A8FFA3BCB17}">
  <dimension ref="A1:H47"/>
  <sheetViews>
    <sheetView tabSelected="1" workbookViewId="0">
      <selection activeCell="F27" sqref="F27"/>
    </sheetView>
  </sheetViews>
  <sheetFormatPr defaultRowHeight="15" x14ac:dyDescent="0.25"/>
  <cols>
    <col min="1" max="1" width="12.7109375" customWidth="1"/>
    <col min="2" max="8" width="25.7109375" customWidth="1"/>
  </cols>
  <sheetData>
    <row r="1" spans="1:8" ht="45" x14ac:dyDescent="0.25">
      <c r="A1" s="6" t="s">
        <v>30</v>
      </c>
      <c r="B1" s="6" t="s">
        <v>31</v>
      </c>
      <c r="C1" s="6" t="s">
        <v>32</v>
      </c>
      <c r="D1" s="7" t="s">
        <v>33</v>
      </c>
      <c r="E1" s="7" t="s">
        <v>0</v>
      </c>
      <c r="F1" s="7" t="s">
        <v>34</v>
      </c>
      <c r="G1" s="7" t="s">
        <v>35</v>
      </c>
      <c r="H1" s="6" t="s">
        <v>36</v>
      </c>
    </row>
    <row r="2" spans="1:8" ht="15" customHeight="1" x14ac:dyDescent="0.25">
      <c r="A2" s="20" t="s">
        <v>37</v>
      </c>
      <c r="B2" s="23">
        <v>46295</v>
      </c>
      <c r="C2" s="26" t="s">
        <v>41</v>
      </c>
      <c r="D2" s="29" t="s">
        <v>38</v>
      </c>
      <c r="E2" s="10" t="str">
        <f>HYPERLINK("#'Test Cases'!A2", "TC-001")</f>
        <v>TC-001</v>
      </c>
      <c r="F2" s="8" t="s">
        <v>39</v>
      </c>
      <c r="G2" s="9"/>
      <c r="H2" s="9"/>
    </row>
    <row r="3" spans="1:8" ht="15" customHeight="1" x14ac:dyDescent="0.25">
      <c r="A3" s="21"/>
      <c r="B3" s="24"/>
      <c r="C3" s="27"/>
      <c r="D3" s="30"/>
      <c r="E3" s="10" t="str">
        <f>HYPERLINK("#'Test Cases'!A4", "TC-002")</f>
        <v>TC-002</v>
      </c>
      <c r="F3" s="8" t="s">
        <v>39</v>
      </c>
      <c r="G3" s="9"/>
      <c r="H3" s="9"/>
    </row>
    <row r="4" spans="1:8" ht="15" customHeight="1" x14ac:dyDescent="0.25">
      <c r="A4" s="21"/>
      <c r="B4" s="24"/>
      <c r="C4" s="27"/>
      <c r="D4" s="30"/>
      <c r="E4" s="10" t="str">
        <f>HYPERLINK("#'Test Cases'!A7", "TC-003")</f>
        <v>TC-003</v>
      </c>
      <c r="F4" s="8" t="s">
        <v>39</v>
      </c>
      <c r="G4" s="9"/>
      <c r="H4" s="9"/>
    </row>
    <row r="5" spans="1:8" ht="15" customHeight="1" x14ac:dyDescent="0.25">
      <c r="A5" s="21"/>
      <c r="B5" s="24"/>
      <c r="C5" s="27"/>
      <c r="D5" s="30"/>
      <c r="E5" s="10" t="str">
        <f>HYPERLINK("#'Test Cases'!A9", "TC-004")</f>
        <v>TC-004</v>
      </c>
      <c r="F5" s="8" t="s">
        <v>39</v>
      </c>
      <c r="G5" s="9"/>
      <c r="H5" s="9"/>
    </row>
    <row r="6" spans="1:8" ht="15" customHeight="1" x14ac:dyDescent="0.25">
      <c r="A6" s="21"/>
      <c r="B6" s="24"/>
      <c r="C6" s="27"/>
      <c r="D6" s="30"/>
      <c r="E6" s="10" t="str">
        <f>HYPERLINK("#'Test Cases'!A11", "TC-005")</f>
        <v>TC-005</v>
      </c>
      <c r="F6" s="8" t="s">
        <v>39</v>
      </c>
      <c r="G6" s="9"/>
      <c r="H6" s="9"/>
    </row>
    <row r="7" spans="1:8" ht="15" customHeight="1" x14ac:dyDescent="0.25">
      <c r="A7" s="21"/>
      <c r="B7" s="24"/>
      <c r="C7" s="27"/>
      <c r="D7" s="30"/>
      <c r="E7" s="10" t="str">
        <f>HYPERLINK("#'Test Cases'!A13", "TC-006")</f>
        <v>TC-006</v>
      </c>
      <c r="F7" s="8" t="s">
        <v>39</v>
      </c>
      <c r="G7" s="9"/>
      <c r="H7" s="9"/>
    </row>
    <row r="8" spans="1:8" ht="15" customHeight="1" x14ac:dyDescent="0.25">
      <c r="A8" s="21"/>
      <c r="B8" s="24"/>
      <c r="C8" s="27"/>
      <c r="D8" s="30"/>
      <c r="E8" s="10" t="str">
        <f>HYPERLINK("#'Test Cases'!A15", "TC-007")</f>
        <v>TC-007</v>
      </c>
      <c r="F8" s="8" t="s">
        <v>39</v>
      </c>
      <c r="G8" s="9"/>
      <c r="H8" s="9"/>
    </row>
    <row r="9" spans="1:8" ht="15" customHeight="1" x14ac:dyDescent="0.25">
      <c r="A9" s="21"/>
      <c r="B9" s="24"/>
      <c r="C9" s="27"/>
      <c r="D9" s="30"/>
      <c r="E9" s="10" t="str">
        <f>HYPERLINK("#'Test Cases'!A17", "TC-008")</f>
        <v>TC-008</v>
      </c>
      <c r="F9" s="8" t="s">
        <v>39</v>
      </c>
      <c r="G9" s="9"/>
      <c r="H9" s="9"/>
    </row>
    <row r="10" spans="1:8" ht="15" customHeight="1" x14ac:dyDescent="0.25">
      <c r="A10" s="21"/>
      <c r="B10" s="24"/>
      <c r="C10" s="27"/>
      <c r="D10" s="30"/>
      <c r="E10" s="10" t="str">
        <f>HYPERLINK("#'Test Cases'!A19", "TC-009")</f>
        <v>TC-009</v>
      </c>
      <c r="F10" s="8" t="s">
        <v>39</v>
      </c>
      <c r="G10" s="9"/>
      <c r="H10" s="9"/>
    </row>
    <row r="11" spans="1:8" ht="15" customHeight="1" x14ac:dyDescent="0.25">
      <c r="A11" s="21"/>
      <c r="B11" s="24"/>
      <c r="C11" s="27"/>
      <c r="D11" s="30"/>
      <c r="E11" s="10" t="str">
        <f>HYPERLINK("#'Test Cases'!A21", "TC-010")</f>
        <v>TC-010</v>
      </c>
      <c r="F11" s="8" t="s">
        <v>39</v>
      </c>
      <c r="G11" s="9"/>
      <c r="H11" s="9"/>
    </row>
    <row r="12" spans="1:8" ht="15" customHeight="1" x14ac:dyDescent="0.25">
      <c r="A12" s="21"/>
      <c r="B12" s="24"/>
      <c r="C12" s="27"/>
      <c r="D12" s="30"/>
      <c r="E12" s="10" t="str">
        <f>HYPERLINK("#'Test Cases'!A23", "TC-011")</f>
        <v>TC-011</v>
      </c>
      <c r="F12" s="8" t="s">
        <v>39</v>
      </c>
      <c r="G12" s="9"/>
      <c r="H12" s="9"/>
    </row>
    <row r="13" spans="1:8" ht="15" customHeight="1" x14ac:dyDescent="0.25">
      <c r="A13" s="21"/>
      <c r="B13" s="24"/>
      <c r="C13" s="27"/>
      <c r="D13" s="30"/>
      <c r="E13" s="10" t="str">
        <f>HYPERLINK("#'Test Cases'!A25", "TC-012")</f>
        <v>TC-012</v>
      </c>
      <c r="F13" s="8" t="s">
        <v>39</v>
      </c>
      <c r="G13" s="9"/>
      <c r="H13" s="9"/>
    </row>
    <row r="14" spans="1:8" ht="15" customHeight="1" x14ac:dyDescent="0.25">
      <c r="A14" s="21"/>
      <c r="B14" s="24"/>
      <c r="C14" s="27"/>
      <c r="D14" s="30"/>
      <c r="E14" s="10" t="str">
        <f>HYPERLINK("#'Test Cases'!A27", "TC-013")</f>
        <v>TC-013</v>
      </c>
      <c r="F14" s="8" t="s">
        <v>39</v>
      </c>
    </row>
    <row r="15" spans="1:8" ht="15" customHeight="1" x14ac:dyDescent="0.25">
      <c r="A15" s="21"/>
      <c r="B15" s="24"/>
      <c r="C15" s="27"/>
      <c r="D15" s="30"/>
      <c r="E15" s="10" t="str">
        <f>HYPERLINK("#'Test Cases'!A29", "TC-014")</f>
        <v>TC-014</v>
      </c>
      <c r="F15" s="8" t="s">
        <v>39</v>
      </c>
    </row>
    <row r="16" spans="1:8" x14ac:dyDescent="0.25">
      <c r="A16" s="21"/>
      <c r="B16" s="24"/>
      <c r="C16" s="27"/>
      <c r="D16" s="30"/>
    </row>
    <row r="17" spans="1:4" ht="15" customHeight="1" x14ac:dyDescent="0.25">
      <c r="A17" s="21"/>
      <c r="B17" s="24"/>
      <c r="C17" s="27"/>
      <c r="D17" s="30"/>
    </row>
    <row r="18" spans="1:4" ht="15" customHeight="1" x14ac:dyDescent="0.25">
      <c r="A18" s="22"/>
      <c r="B18" s="25"/>
      <c r="C18" s="28"/>
      <c r="D18" s="31"/>
    </row>
    <row r="19" spans="1:4" ht="15" customHeight="1" x14ac:dyDescent="0.25"/>
    <row r="20" spans="1:4" ht="15" customHeight="1" x14ac:dyDescent="0.25">
      <c r="A20" s="16"/>
      <c r="B20" s="15"/>
      <c r="C20" s="14"/>
    </row>
    <row r="21" spans="1:4" ht="15" customHeight="1" x14ac:dyDescent="0.25">
      <c r="A21" s="16"/>
      <c r="B21" s="15"/>
      <c r="C21" s="14"/>
    </row>
    <row r="22" spans="1:4" ht="15" customHeight="1" x14ac:dyDescent="0.25">
      <c r="A22" s="16"/>
      <c r="B22" s="15"/>
      <c r="C22" s="14"/>
    </row>
    <row r="23" spans="1:4" ht="15" customHeight="1" x14ac:dyDescent="0.25">
      <c r="A23" s="16"/>
      <c r="B23" s="15"/>
      <c r="C23" s="14"/>
    </row>
    <row r="24" spans="1:4" ht="15" customHeight="1" x14ac:dyDescent="0.25">
      <c r="A24" s="16"/>
      <c r="B24" s="15"/>
      <c r="C24" s="14"/>
    </row>
    <row r="25" spans="1:4" ht="15" customHeight="1" x14ac:dyDescent="0.25">
      <c r="A25" s="16"/>
      <c r="B25" s="15"/>
      <c r="C25" s="14"/>
    </row>
    <row r="26" spans="1:4" ht="15" customHeight="1" x14ac:dyDescent="0.25">
      <c r="A26" s="16"/>
      <c r="B26" s="15"/>
      <c r="C26" s="14"/>
    </row>
    <row r="27" spans="1:4" ht="15" customHeight="1" x14ac:dyDescent="0.25">
      <c r="A27" s="16"/>
      <c r="B27" s="15"/>
      <c r="C27" s="14"/>
    </row>
    <row r="28" spans="1:4" ht="15" customHeight="1" x14ac:dyDescent="0.25">
      <c r="A28" s="16"/>
      <c r="B28" s="15"/>
      <c r="C28" s="14"/>
    </row>
    <row r="29" spans="1:4" ht="15" customHeight="1" x14ac:dyDescent="0.25">
      <c r="A29" s="16"/>
      <c r="B29" s="15"/>
      <c r="C29" s="14"/>
    </row>
    <row r="30" spans="1:4" ht="15" customHeight="1" x14ac:dyDescent="0.25">
      <c r="A30" s="16"/>
      <c r="B30" s="15"/>
      <c r="C30" s="14"/>
    </row>
    <row r="31" spans="1:4" ht="15" customHeight="1" x14ac:dyDescent="0.25">
      <c r="A31" s="16"/>
      <c r="B31" s="15"/>
      <c r="C31" s="14"/>
    </row>
    <row r="32" spans="1:4" ht="15" customHeight="1" x14ac:dyDescent="0.25">
      <c r="A32" s="16"/>
      <c r="B32" s="15"/>
      <c r="C32" s="14"/>
    </row>
    <row r="33" spans="1:3" ht="15" customHeight="1" x14ac:dyDescent="0.25">
      <c r="A33" s="16"/>
      <c r="B33" s="15"/>
      <c r="C33" s="14"/>
    </row>
    <row r="34" spans="1:3" ht="15" customHeight="1" x14ac:dyDescent="0.25">
      <c r="A34" s="16"/>
      <c r="B34" s="15"/>
      <c r="C34" s="14"/>
    </row>
    <row r="35" spans="1:3" ht="15" customHeight="1" x14ac:dyDescent="0.25">
      <c r="A35" s="16"/>
      <c r="B35" s="15"/>
      <c r="C35" s="14"/>
    </row>
    <row r="36" spans="1:3" ht="15" customHeight="1" x14ac:dyDescent="0.25">
      <c r="A36" s="16"/>
      <c r="B36" s="15"/>
      <c r="C36" s="14"/>
    </row>
    <row r="37" spans="1:3" ht="15" customHeight="1" x14ac:dyDescent="0.25">
      <c r="A37" s="16"/>
      <c r="B37" s="15"/>
      <c r="C37" s="14"/>
    </row>
    <row r="38" spans="1:3" ht="15" customHeight="1" x14ac:dyDescent="0.25">
      <c r="A38" s="16"/>
      <c r="B38" s="15"/>
      <c r="C38" s="14"/>
    </row>
    <row r="39" spans="1:3" ht="15" customHeight="1" x14ac:dyDescent="0.25">
      <c r="A39" s="16"/>
      <c r="B39" s="15"/>
      <c r="C39" s="14"/>
    </row>
    <row r="40" spans="1:3" ht="15" customHeight="1" x14ac:dyDescent="0.25">
      <c r="A40" s="16"/>
      <c r="B40" s="15"/>
      <c r="C40" s="14"/>
    </row>
    <row r="41" spans="1:3" ht="15" customHeight="1" x14ac:dyDescent="0.25">
      <c r="A41" s="16"/>
      <c r="B41" s="15"/>
      <c r="C41" s="14"/>
    </row>
    <row r="42" spans="1:3" ht="15" customHeight="1" x14ac:dyDescent="0.25">
      <c r="A42" s="16"/>
      <c r="B42" s="15"/>
      <c r="C42" s="14"/>
    </row>
    <row r="43" spans="1:3" ht="15" customHeight="1" x14ac:dyDescent="0.25">
      <c r="A43" s="16"/>
      <c r="B43" s="15"/>
      <c r="C43" s="14"/>
    </row>
    <row r="44" spans="1:3" ht="15" customHeight="1" x14ac:dyDescent="0.25">
      <c r="A44" s="16"/>
      <c r="B44" s="15"/>
      <c r="C44" s="14"/>
    </row>
    <row r="45" spans="1:3" ht="15" customHeight="1" x14ac:dyDescent="0.25">
      <c r="A45" s="16"/>
      <c r="B45" s="15"/>
      <c r="C45" s="14"/>
    </row>
    <row r="46" spans="1:3" ht="15" customHeight="1" x14ac:dyDescent="0.25">
      <c r="A46" s="16"/>
      <c r="B46" s="15"/>
      <c r="C46" s="14"/>
    </row>
    <row r="47" spans="1:3" ht="15" customHeight="1" x14ac:dyDescent="0.25">
      <c r="A47" s="16"/>
      <c r="B47" s="15"/>
      <c r="C47" s="14"/>
    </row>
  </sheetData>
  <mergeCells count="4">
    <mergeCell ref="A2:A18"/>
    <mergeCell ref="B2:B18"/>
    <mergeCell ref="C2:C18"/>
    <mergeCell ref="D2:D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04C0-655D-441E-B17F-AAC60306E869}">
  <dimension ref="A1:M3"/>
  <sheetViews>
    <sheetView workbookViewId="0">
      <selection activeCell="F23" sqref="F23"/>
    </sheetView>
  </sheetViews>
  <sheetFormatPr defaultRowHeight="15" x14ac:dyDescent="0.25"/>
  <cols>
    <col min="1" max="4" width="12.7109375" customWidth="1"/>
    <col min="5" max="8" width="25.7109375" customWidth="1"/>
    <col min="9" max="10" width="12.7109375" customWidth="1"/>
    <col min="11" max="12" width="20.7109375" customWidth="1"/>
    <col min="13" max="13" width="15.7109375" customWidth="1"/>
  </cols>
  <sheetData>
    <row r="1" spans="1:13" ht="60" x14ac:dyDescent="0.25">
      <c r="A1" s="6" t="s">
        <v>36</v>
      </c>
      <c r="B1" s="6" t="s">
        <v>1</v>
      </c>
      <c r="C1" s="6" t="s">
        <v>42</v>
      </c>
      <c r="D1" s="7" t="s">
        <v>30</v>
      </c>
      <c r="E1" s="7" t="s">
        <v>2</v>
      </c>
      <c r="F1" s="7" t="s">
        <v>43</v>
      </c>
      <c r="G1" s="7" t="s">
        <v>4</v>
      </c>
      <c r="H1" s="6" t="s">
        <v>44</v>
      </c>
      <c r="I1" s="6" t="s">
        <v>45</v>
      </c>
      <c r="J1" s="6" t="s">
        <v>6</v>
      </c>
      <c r="K1" s="6" t="s">
        <v>46</v>
      </c>
      <c r="L1" s="7" t="s">
        <v>47</v>
      </c>
      <c r="M1" s="7" t="s">
        <v>48</v>
      </c>
    </row>
    <row r="2" spans="1:13" x14ac:dyDescent="0.25">
      <c r="A2" s="11"/>
      <c r="B2" s="11"/>
      <c r="C2" s="13"/>
      <c r="D2" s="13"/>
      <c r="E2" s="11"/>
      <c r="F2" s="4"/>
      <c r="G2" s="4"/>
      <c r="H2" s="11"/>
      <c r="I2" s="11"/>
      <c r="J2" s="11"/>
      <c r="K2" s="11"/>
      <c r="L2" s="11"/>
      <c r="M2" s="12"/>
    </row>
    <row r="3" spans="1:13" x14ac:dyDescent="0.25">
      <c r="A3" s="11"/>
      <c r="B3" s="11"/>
      <c r="C3" s="10"/>
      <c r="D3" s="13"/>
      <c r="E3" s="11"/>
      <c r="F3" s="4"/>
      <c r="G3" s="4"/>
      <c r="H3" s="4"/>
      <c r="I3" s="11"/>
      <c r="J3" s="11"/>
      <c r="K3" s="11"/>
      <c r="L3" s="11"/>
      <c r="M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2026-09-30T09:31:03Z</dcterms:modified>
</cp:coreProperties>
</file>