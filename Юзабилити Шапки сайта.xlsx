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"/>
    </mc:Choice>
  </mc:AlternateContent>
  <xr:revisionPtr revIDLastSave="27" documentId="11_F25DC773A252ABDACC10481E791F7A445ADE58EB" xr6:coauthVersionLast="47" xr6:coauthVersionMax="47" xr10:uidLastSave="{39ED00A8-0779-41DE-9C86-5A1CA14978C0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<sst xmlns="http://schemas.openxmlformats.org/spreadsheetml/2006/main" count="173" uniqueCount="105">
  <si>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</si>
  <si>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</si>
  <si>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</si>
  <si>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</si>
  <si>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</si>
  <si>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</si>
  <si>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</si>
  <si>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TC-010</t>
  </si>
  <si>
    <t>Открыта любая внутренняя страница сайта</t>
  </si>
  <si>
    <t>Курсор изменяется, показывая что элемент активный</t>
  </si>
  <si>
    <t>High</t>
  </si>
  <si>
    <t>2) Кликнуть по данному пункту меню</t>
  </si>
  <si>
    <t>TC-001</t>
  </si>
  <si>
    <t>TC-011</t>
  </si>
  <si>
    <t>Логотип: кликабелен, ведет на главную страницу</t>
  </si>
  <si>
    <t>1) Навести курсор на логотип</t>
  </si>
  <si>
    <t>Пользователь возвращается на главную страницу</t>
  </si>
  <si>
    <t>Low</t>
  </si>
  <si>
    <t>2) Нажать на логотип</t>
  </si>
  <si>
    <t>Происходит переход на главную страницу сайта</t>
  </si>
  <si>
    <t>3) Проверить работоспособность ссылки после перехода</t>
  </si>
  <si>
    <t>Главная страница загружается без ошибок, логотип и навигация доступны, сайт не зависает и не выдает ошибок</t>
  </si>
  <si>
    <t>TC-002</t>
  </si>
  <si>
    <t>Меню: ссылка «Каталог фирм» ведет на страницу с Каталогом фирм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</si>
  <si>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Каталог фирм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</si>
  <si>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Каталогом фирм</t>
    </r>
  </si>
  <si>
    <t>Пользователь находится на странице с Каталогом фирм</t>
  </si>
  <si>
    <t>TC-003</t>
  </si>
  <si>
    <t>Меню: ссылка «Товары и услуги» ведет на страницу с Товарами и услугами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</si>
  <si>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Товары и услуги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</si>
  <si>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Товарами и услугами</t>
    </r>
  </si>
  <si>
    <t>Пользователь находится на странице с Товарами и услугами</t>
  </si>
  <si>
    <t>TC-004</t>
  </si>
  <si>
    <t>Меню: ссылка «Работа» ведет на страницу с Работой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</si>
  <si>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Работа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</si>
  <si>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Работой</t>
    </r>
  </si>
  <si>
    <t>Пользователь находится на странице с Работой</t>
  </si>
  <si>
    <t>TC-005</t>
  </si>
  <si>
    <t>Меню: ссылка «Резюме» ведет на страницу с Резюме</t>
  </si>
  <si>
    <t>Пользователь находится на странице с Резюме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</si>
  <si>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Резюме</t>
    </r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</si>
  <si>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Резюме</t>
    </r>
    <r>
      <rPr>
        <sz val="12"/>
        <color theme="1"/>
        <rFont val="Liberation Serif"/>
        <family val="1"/>
        <charset val="204"/>
      </rPr>
      <t>»</t>
    </r>
  </si>
  <si>
    <t>TC-006</t>
  </si>
  <si>
    <t>Меню: ссылка «Личный кабинет» открывается форма заполнения Личный кабинет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</si>
  <si>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Личный кабинет</t>
    </r>
    <r>
      <rPr>
        <sz val="12"/>
        <color theme="1"/>
        <rFont val="Liberation Serif"/>
        <family val="1"/>
        <charset val="204"/>
      </rPr>
      <t>»</t>
    </r>
  </si>
  <si>
    <t>Пользователь находится на форме заполнения  Личный кабинет</t>
  </si>
  <si>
    <r>
      <t xml:space="preserve">Открывается форма заполнения </t>
    </r>
    <r>
      <rPr>
        <sz val="12"/>
        <color theme="1"/>
        <rFont val="Times New Roman"/>
        <family val="1"/>
        <charset val="204"/>
      </rPr>
      <t>Личный кабинет</t>
    </r>
  </si>
  <si>
    <t xml:space="preserve">Меню: ссылка «Добавить» выводится список 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</si>
  <si>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Добавить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</si>
  <si>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список  </t>
    </r>
    <r>
      <rPr>
        <sz val="12"/>
        <color theme="1"/>
        <rFont val="Times New Roman"/>
        <family val="1"/>
        <charset val="204"/>
      </rPr>
      <t>что можно Добавить</t>
    </r>
  </si>
  <si>
    <t>Пользователь находится в списке что можно Добавить</t>
  </si>
  <si>
    <t>Меню: ссылка «Добавить-&gt; Добавить компанию» ведет на страницу с Добавить компанию</t>
  </si>
  <si>
    <t>Пользователь находится на странице с Добавить компанию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</si>
  <si>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Добавить компанию</t>
    </r>
  </si>
  <si>
    <t>2) Кликнуть по Добавить компанию</t>
  </si>
  <si>
    <t>Меню: ссылка «Добавить-&gt; Добавить объявление» ведет на страницу с Добавить объявление</t>
  </si>
  <si>
    <t>2) Кликнуть по Добавить объявление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</si>
  <si>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Добавить объявление</t>
    </r>
  </si>
  <si>
    <t>Пользователь находится на странице с Добавить объявление</t>
  </si>
  <si>
    <t>Меню: ссылка «Добавить-&gt; Добавить вакансию» ведет на страницу с Добавить вакансию</t>
  </si>
  <si>
    <t>2) Кликнуть по Добавить вакансию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</si>
  <si>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Добавить вакансию</t>
    </r>
  </si>
  <si>
    <t>Пользователь находится на странице с Добавить вакансию</t>
  </si>
  <si>
    <t>Меню: ссылка «Добавить-&gt; Добавить резюме» ведет на страницу с Добавить резюме</t>
  </si>
  <si>
    <t>2) Кликнуть по Добавить резюме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</si>
  <si>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Добавить резюме</t>
    </r>
  </si>
  <si>
    <t>Пользователь находится на странице с Добавить резюме</t>
  </si>
  <si>
    <t>TC-007</t>
  </si>
  <si>
    <t>TC-008</t>
  </si>
  <si>
    <t>TC-009</t>
  </si>
  <si>
    <t>Меню: ссылка «Выбор языка» ведет на список с Выбором языка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</si>
  <si>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Выбор языка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</si>
  <si>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список с </t>
    </r>
    <r>
      <rPr>
        <sz val="12"/>
        <color theme="1"/>
        <rFont val="Times New Roman"/>
        <family val="1"/>
        <charset val="204"/>
      </rPr>
      <t>Выбором языка</t>
    </r>
  </si>
  <si>
    <t>Пользователь находится в списке с Выбором языка</t>
  </si>
  <si>
    <t>2) Кликнуть по Выбор языка</t>
  </si>
  <si>
    <t>TC-012</t>
  </si>
  <si>
    <t>Меню: ссылка «Выбор региона» ведет на список с Выбором региона</t>
  </si>
  <si>
    <t>2) Кликнуть по Выбор региона</t>
  </si>
  <si>
    <r>
      <t xml:space="preserve">Открывается список с </t>
    </r>
    <r>
      <rPr>
        <sz val="12"/>
        <color theme="1"/>
        <rFont val="Times New Roman"/>
        <family val="1"/>
        <charset val="204"/>
      </rPr>
      <t>Выбором региона</t>
    </r>
  </si>
  <si>
    <t>Пользователь находится в списке с Выбором региона</t>
  </si>
  <si>
    <t>TC-013</t>
  </si>
  <si>
    <t>Меню: ссылка «Поиск» ведет на список с Поиском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</si>
  <si>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Поиск</t>
    </r>
    <r>
      <rPr>
        <sz val="12"/>
        <color theme="1"/>
        <rFont val="Liberation Serif"/>
        <family val="1"/>
        <charset val="204"/>
      </rPr>
      <t>»</t>
    </r>
  </si>
  <si>
    <t>2) Кликнуть по Поиск</t>
  </si>
  <si>
    <r>
      <t xml:space="preserve">Открывается список с </t>
    </r>
    <r>
      <rPr>
        <sz val="12"/>
        <color theme="1"/>
        <rFont val="Times New Roman"/>
        <family val="1"/>
        <charset val="204"/>
      </rPr>
      <t>Поиском</t>
    </r>
  </si>
  <si>
    <t>Пользователь находится в списке с Поиском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</si>
  <si>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</si>
  <si>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</si>
  <si>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</si>
  <si>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</si>
  <si>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</si>
  <si>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</si>
  <si>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</si>
  <si>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</si>
  <si>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</si>
  <si>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</si>
  <si>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TC-014</t>
  </si>
  <si>
    <t>Юзабилити: шапка сайта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</si>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</sst>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Liberation Serif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0" fontId="6" fillId="0" borderId="3" xfId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K6" sqref="K6"/>
    </sheetView>
  </sheetViews>
  <sheetFormatPr defaultRowHeight="15" x14ac:dyDescent="0.25"/>
  <cols>
    <col min="1" max="7" width="25.7109375" customWidth="1"/>
  </cols>
  <sheetData>
    <row r="1" spans="1:7" ht="94.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6.5" x14ac:dyDescent="0.25">
      <c r="A2" s="4" t="s">
        <v>12</v>
      </c>
      <c r="B2" s="5" t="s">
        <v>23</v>
      </c>
      <c r="C2" s="5" t="s">
        <v>8</v>
      </c>
      <c r="D2" s="6" t="s">
        <v>24</v>
      </c>
      <c r="E2" s="6" t="s">
        <v>9</v>
      </c>
      <c r="F2" s="5" t="s">
        <v>26</v>
      </c>
      <c r="G2" s="7" t="s">
        <v>10</v>
      </c>
    </row>
    <row r="3" spans="1:7" ht="30.75" x14ac:dyDescent="0.25">
      <c r="A3" s="4"/>
      <c r="B3" s="5"/>
      <c r="C3" s="5"/>
      <c r="D3" s="6" t="s">
        <v>11</v>
      </c>
      <c r="E3" s="6" t="s">
        <v>25</v>
      </c>
      <c r="F3" s="5"/>
      <c r="G3" s="7"/>
    </row>
    <row r="4" spans="1:7" ht="47.25" x14ac:dyDescent="0.25">
      <c r="A4" s="4" t="s">
        <v>22</v>
      </c>
      <c r="B4" s="5" t="s">
        <v>14</v>
      </c>
      <c r="C4" s="5" t="s">
        <v>8</v>
      </c>
      <c r="D4" s="8" t="s">
        <v>15</v>
      </c>
      <c r="E4" s="8" t="s">
        <v>9</v>
      </c>
      <c r="F4" s="5" t="s">
        <v>16</v>
      </c>
      <c r="G4" s="7" t="s">
        <v>17</v>
      </c>
    </row>
    <row r="5" spans="1:7" ht="31.5" x14ac:dyDescent="0.25">
      <c r="A5" s="4"/>
      <c r="B5" s="5"/>
      <c r="C5" s="5"/>
      <c r="D5" s="8" t="s">
        <v>18</v>
      </c>
      <c r="E5" s="8" t="s">
        <v>19</v>
      </c>
      <c r="F5" s="5"/>
      <c r="G5" s="7"/>
    </row>
    <row r="6" spans="1:7" ht="94.5" x14ac:dyDescent="0.25">
      <c r="A6" s="4"/>
      <c r="B6" s="5"/>
      <c r="C6" s="5"/>
      <c r="D6" s="8" t="s">
        <v>20</v>
      </c>
      <c r="E6" s="8" t="s">
        <v>21</v>
      </c>
      <c r="F6" s="5"/>
      <c r="G6" s="7"/>
    </row>
    <row r="7" spans="1:7" ht="46.5" x14ac:dyDescent="0.25">
      <c r="A7" s="4" t="s">
        <v>27</v>
      </c>
      <c r="B7" s="5" t="s">
        <v>28</v>
      </c>
      <c r="C7" s="5" t="s">
        <v>8</v>
      </c>
      <c r="D7" s="6" t="s">
        <v>29</v>
      </c>
      <c r="E7" s="6" t="s">
        <v>9</v>
      </c>
      <c r="F7" s="5" t="s">
        <v>31</v>
      </c>
      <c r="G7" s="7" t="s">
        <v>10</v>
      </c>
    </row>
    <row r="8" spans="1:7" ht="30.75" x14ac:dyDescent="0.25">
      <c r="A8" s="4"/>
      <c r="B8" s="5"/>
      <c r="C8" s="5"/>
      <c r="D8" s="6" t="s">
        <v>11</v>
      </c>
      <c r="E8" s="6" t="s">
        <v>30</v>
      </c>
      <c r="F8" s="5"/>
      <c r="G8" s="7"/>
    </row>
    <row r="9" spans="1:7" ht="45" x14ac:dyDescent="0.25">
      <c r="A9" s="4" t="s">
        <v>32</v>
      </c>
      <c r="B9" s="5" t="s">
        <v>33</v>
      </c>
      <c r="C9" s="5" t="s">
        <v>8</v>
      </c>
      <c r="D9" s="6" t="s">
        <v>34</v>
      </c>
      <c r="E9" s="6" t="s">
        <v>9</v>
      </c>
      <c r="F9" s="5" t="s">
        <v>36</v>
      </c>
      <c r="G9" s="7" t="s">
        <v>10</v>
      </c>
    </row>
    <row r="10" spans="1:7" ht="30.75" x14ac:dyDescent="0.25">
      <c r="A10" s="4"/>
      <c r="B10" s="5"/>
      <c r="C10" s="5"/>
      <c r="D10" s="6" t="s">
        <v>11</v>
      </c>
      <c r="E10" s="6" t="s">
        <v>35</v>
      </c>
      <c r="F10" s="5"/>
      <c r="G10" s="7"/>
    </row>
    <row r="11" spans="1:7" ht="45" x14ac:dyDescent="0.25">
      <c r="A11" s="4" t="s">
        <v>37</v>
      </c>
      <c r="B11" s="5" t="s">
        <v>38</v>
      </c>
      <c r="C11" s="5" t="s">
        <v>8</v>
      </c>
      <c r="D11" s="6" t="s">
        <v>41</v>
      </c>
      <c r="E11" s="6" t="s">
        <v>9</v>
      </c>
      <c r="F11" s="5" t="s">
        <v>39</v>
      </c>
      <c r="G11" s="7" t="s">
        <v>10</v>
      </c>
    </row>
    <row r="12" spans="1:7" ht="30.75" x14ac:dyDescent="0.25">
      <c r="A12" s="4"/>
      <c r="B12" s="5"/>
      <c r="C12" s="5"/>
      <c r="D12" s="6" t="s">
        <v>11</v>
      </c>
      <c r="E12" s="6" t="s">
        <v>40</v>
      </c>
      <c r="F12" s="5"/>
      <c r="G12" s="7"/>
    </row>
    <row r="13" spans="1:7" ht="46.5" x14ac:dyDescent="0.25">
      <c r="A13" s="4" t="s">
        <v>42</v>
      </c>
      <c r="B13" s="5" t="s">
        <v>43</v>
      </c>
      <c r="C13" s="5" t="s">
        <v>8</v>
      </c>
      <c r="D13" s="6" t="s">
        <v>44</v>
      </c>
      <c r="E13" s="6" t="s">
        <v>9</v>
      </c>
      <c r="F13" s="5" t="s">
        <v>45</v>
      </c>
      <c r="G13" s="7" t="s">
        <v>10</v>
      </c>
    </row>
    <row r="14" spans="1:7" ht="46.5" x14ac:dyDescent="0.25">
      <c r="A14" s="4"/>
      <c r="B14" s="5"/>
      <c r="C14" s="5"/>
      <c r="D14" s="6" t="s">
        <v>11</v>
      </c>
      <c r="E14" s="6" t="s">
        <v>46</v>
      </c>
      <c r="F14" s="5"/>
      <c r="G14" s="7"/>
    </row>
    <row r="15" spans="1:7" ht="45" x14ac:dyDescent="0.25">
      <c r="A15" s="4" t="s">
        <v>67</v>
      </c>
      <c r="B15" s="5" t="s">
        <v>47</v>
      </c>
      <c r="C15" s="5" t="s">
        <v>8</v>
      </c>
      <c r="D15" s="6" t="s">
        <v>48</v>
      </c>
      <c r="E15" s="6" t="s">
        <v>9</v>
      </c>
      <c r="F15" s="5" t="s">
        <v>50</v>
      </c>
      <c r="G15" s="7" t="s">
        <v>10</v>
      </c>
    </row>
    <row r="16" spans="1:7" ht="30.75" x14ac:dyDescent="0.25">
      <c r="A16" s="4"/>
      <c r="B16" s="5"/>
      <c r="C16" s="5"/>
      <c r="D16" s="6" t="s">
        <v>11</v>
      </c>
      <c r="E16" s="6" t="s">
        <v>49</v>
      </c>
      <c r="F16" s="5"/>
      <c r="G16" s="7"/>
    </row>
    <row r="17" spans="1:7" ht="45" x14ac:dyDescent="0.25">
      <c r="A17" s="4" t="s">
        <v>68</v>
      </c>
      <c r="B17" s="5" t="s">
        <v>51</v>
      </c>
      <c r="C17" s="5" t="s">
        <v>8</v>
      </c>
      <c r="D17" s="6" t="s">
        <v>48</v>
      </c>
      <c r="E17" s="6" t="s">
        <v>9</v>
      </c>
      <c r="F17" s="5" t="s">
        <v>52</v>
      </c>
      <c r="G17" s="7" t="s">
        <v>10</v>
      </c>
    </row>
    <row r="18" spans="1:7" ht="30.75" x14ac:dyDescent="0.25">
      <c r="A18" s="4"/>
      <c r="B18" s="5"/>
      <c r="C18" s="5"/>
      <c r="D18" s="6" t="s">
        <v>54</v>
      </c>
      <c r="E18" s="6" t="s">
        <v>53</v>
      </c>
      <c r="F18" s="5"/>
      <c r="G18" s="7"/>
    </row>
    <row r="19" spans="1:7" ht="45" x14ac:dyDescent="0.25">
      <c r="A19" s="4" t="s">
        <v>69</v>
      </c>
      <c r="B19" s="5" t="s">
        <v>55</v>
      </c>
      <c r="C19" s="5" t="s">
        <v>8</v>
      </c>
      <c r="D19" s="6" t="s">
        <v>48</v>
      </c>
      <c r="E19" s="6" t="s">
        <v>9</v>
      </c>
      <c r="F19" s="5" t="s">
        <v>58</v>
      </c>
      <c r="G19" s="7" t="s">
        <v>10</v>
      </c>
    </row>
    <row r="20" spans="1:7" ht="30.75" x14ac:dyDescent="0.25">
      <c r="A20" s="4"/>
      <c r="B20" s="5"/>
      <c r="C20" s="5"/>
      <c r="D20" s="6" t="s">
        <v>56</v>
      </c>
      <c r="E20" s="6" t="s">
        <v>57</v>
      </c>
      <c r="F20" s="5"/>
      <c r="G20" s="7"/>
    </row>
    <row r="21" spans="1:7" ht="45" x14ac:dyDescent="0.25">
      <c r="A21" s="4" t="s">
        <v>7</v>
      </c>
      <c r="B21" s="5" t="s">
        <v>59</v>
      </c>
      <c r="C21" s="5" t="s">
        <v>8</v>
      </c>
      <c r="D21" s="6" t="s">
        <v>48</v>
      </c>
      <c r="E21" s="6" t="s">
        <v>9</v>
      </c>
      <c r="F21" s="5" t="s">
        <v>62</v>
      </c>
      <c r="G21" s="7" t="s">
        <v>10</v>
      </c>
    </row>
    <row r="22" spans="1:7" ht="30.75" x14ac:dyDescent="0.25">
      <c r="A22" s="4"/>
      <c r="B22" s="5"/>
      <c r="C22" s="5"/>
      <c r="D22" s="6" t="s">
        <v>60</v>
      </c>
      <c r="E22" s="6" t="s">
        <v>61</v>
      </c>
      <c r="F22" s="5"/>
      <c r="G22" s="7"/>
    </row>
    <row r="23" spans="1:7" ht="45" x14ac:dyDescent="0.25">
      <c r="A23" s="4" t="s">
        <v>13</v>
      </c>
      <c r="B23" s="5" t="s">
        <v>63</v>
      </c>
      <c r="C23" s="5" t="s">
        <v>8</v>
      </c>
      <c r="D23" s="6" t="s">
        <v>48</v>
      </c>
      <c r="E23" s="6" t="s">
        <v>9</v>
      </c>
      <c r="F23" s="5" t="s">
        <v>66</v>
      </c>
      <c r="G23" s="7" t="s">
        <v>10</v>
      </c>
    </row>
    <row r="24" spans="1:7" ht="30.75" x14ac:dyDescent="0.25">
      <c r="A24" s="4"/>
      <c r="B24" s="5"/>
      <c r="C24" s="5"/>
      <c r="D24" s="6" t="s">
        <v>64</v>
      </c>
      <c r="E24" s="6" t="s">
        <v>65</v>
      </c>
      <c r="F24" s="5"/>
      <c r="G24" s="7"/>
    </row>
    <row r="25" spans="1:7" ht="46.5" x14ac:dyDescent="0.25">
      <c r="A25" s="4" t="s">
        <v>75</v>
      </c>
      <c r="B25" s="5" t="s">
        <v>70</v>
      </c>
      <c r="C25" s="5" t="s">
        <v>8</v>
      </c>
      <c r="D25" s="6" t="s">
        <v>71</v>
      </c>
      <c r="E25" s="6" t="s">
        <v>9</v>
      </c>
      <c r="F25" s="5" t="s">
        <v>73</v>
      </c>
      <c r="G25" s="7" t="s">
        <v>10</v>
      </c>
    </row>
    <row r="26" spans="1:7" ht="30.75" x14ac:dyDescent="0.25">
      <c r="A26" s="4"/>
      <c r="B26" s="5"/>
      <c r="C26" s="5"/>
      <c r="D26" s="6" t="s">
        <v>74</v>
      </c>
      <c r="E26" s="6" t="s">
        <v>72</v>
      </c>
      <c r="F26" s="5"/>
      <c r="G26" s="7"/>
    </row>
    <row r="27" spans="1:7" ht="46.5" x14ac:dyDescent="0.25">
      <c r="A27" s="4" t="s">
        <v>80</v>
      </c>
      <c r="B27" s="5" t="s">
        <v>76</v>
      </c>
      <c r="C27" s="5" t="s">
        <v>8</v>
      </c>
      <c r="D27" s="6" t="s">
        <v>71</v>
      </c>
      <c r="E27" s="6" t="s">
        <v>9</v>
      </c>
      <c r="F27" s="5" t="s">
        <v>79</v>
      </c>
      <c r="G27" s="7" t="s">
        <v>10</v>
      </c>
    </row>
    <row r="28" spans="1:7" ht="30.75" x14ac:dyDescent="0.25">
      <c r="A28" s="4"/>
      <c r="B28" s="5"/>
      <c r="C28" s="5"/>
      <c r="D28" s="6" t="s">
        <v>77</v>
      </c>
      <c r="E28" s="6" t="s">
        <v>78</v>
      </c>
      <c r="F28" s="5"/>
      <c r="G28" s="7"/>
    </row>
    <row r="29" spans="1:7" ht="45" x14ac:dyDescent="0.25">
      <c r="A29" s="4" t="s">
        <v>96</v>
      </c>
      <c r="B29" s="5" t="s">
        <v>81</v>
      </c>
      <c r="C29" s="5" t="s">
        <v>8</v>
      </c>
      <c r="D29" s="6" t="s">
        <v>82</v>
      </c>
      <c r="E29" s="6" t="s">
        <v>9</v>
      </c>
      <c r="F29" s="5" t="s">
        <v>85</v>
      </c>
      <c r="G29" s="7" t="s">
        <v>10</v>
      </c>
    </row>
    <row r="30" spans="1:7" ht="30.75" x14ac:dyDescent="0.25">
      <c r="A30" s="4"/>
      <c r="B30" s="5"/>
      <c r="C30" s="5"/>
      <c r="D30" s="6" t="s">
        <v>83</v>
      </c>
      <c r="E30" s="6" t="s">
        <v>84</v>
      </c>
      <c r="F30" s="5"/>
      <c r="G30" s="7"/>
    </row>
  </sheetData>
  <mergeCells count="70">
    <mergeCell ref="A27:A28"/>
    <mergeCell ref="B27:B28"/>
    <mergeCell ref="C27:C28"/>
    <mergeCell ref="F27:F28"/>
    <mergeCell ref="G27:G28"/>
    <mergeCell ref="A29:A30"/>
    <mergeCell ref="B29:B30"/>
    <mergeCell ref="C29:C30"/>
    <mergeCell ref="F29:F30"/>
    <mergeCell ref="G29:G30"/>
    <mergeCell ref="A23:A24"/>
    <mergeCell ref="B23:B24"/>
    <mergeCell ref="C23:C24"/>
    <mergeCell ref="F23:F24"/>
    <mergeCell ref="G23:G24"/>
    <mergeCell ref="A25:A26"/>
    <mergeCell ref="B25:B26"/>
    <mergeCell ref="C25:C26"/>
    <mergeCell ref="F25:F26"/>
    <mergeCell ref="G25:G26"/>
    <mergeCell ref="A21:A22"/>
    <mergeCell ref="B21:B22"/>
    <mergeCell ref="C21:C22"/>
    <mergeCell ref="F21:F22"/>
    <mergeCell ref="G21:G22"/>
    <mergeCell ref="A17:A18"/>
    <mergeCell ref="B17:B18"/>
    <mergeCell ref="C17:C18"/>
    <mergeCell ref="F17:F18"/>
    <mergeCell ref="G17:G18"/>
    <mergeCell ref="A19:A20"/>
    <mergeCell ref="B19:B20"/>
    <mergeCell ref="C19:C20"/>
    <mergeCell ref="F19:F20"/>
    <mergeCell ref="G19:G20"/>
    <mergeCell ref="A13:A14"/>
    <mergeCell ref="B13:B14"/>
    <mergeCell ref="C13:C14"/>
    <mergeCell ref="F13:F14"/>
    <mergeCell ref="G13:G14"/>
    <mergeCell ref="A15:A16"/>
    <mergeCell ref="B15:B16"/>
    <mergeCell ref="C15:C16"/>
    <mergeCell ref="F15:F16"/>
    <mergeCell ref="G15:G16"/>
    <mergeCell ref="A9:A10"/>
    <mergeCell ref="B9:B10"/>
    <mergeCell ref="C9:C10"/>
    <mergeCell ref="F9:F10"/>
    <mergeCell ref="G9:G10"/>
    <mergeCell ref="A11:A12"/>
    <mergeCell ref="B11:B12"/>
    <mergeCell ref="C11:C12"/>
    <mergeCell ref="F11:F12"/>
    <mergeCell ref="G11:G12"/>
    <mergeCell ref="A7:A8"/>
    <mergeCell ref="B7:B8"/>
    <mergeCell ref="C7:C8"/>
    <mergeCell ref="F7:F8"/>
    <mergeCell ref="G7:G8"/>
    <mergeCell ref="A2:A3"/>
    <mergeCell ref="B2:B3"/>
    <mergeCell ref="C2:C3"/>
    <mergeCell ref="F2:F3"/>
    <mergeCell ref="G2:G3"/>
    <mergeCell ref="A4:A6"/>
    <mergeCell ref="B4:B6"/>
    <mergeCell ref="C4:C6"/>
    <mergeCell ref="F4:F6"/>
    <mergeCell ref="G4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1C66-7C95-4417-BC35-1A8FFA3BCB17}">
  <dimension ref="A1:H15"/>
  <sheetViews>
    <sheetView workbookViewId="0">
      <selection activeCell="F25" sqref="F25"/>
    </sheetView>
  </sheetViews>
  <sheetFormatPr defaultRowHeight="15" x14ac:dyDescent="0.25"/>
  <cols>
    <col min="1" max="1" width="12.7109375" customWidth="1"/>
    <col min="2" max="8" width="25.7109375" customWidth="1"/>
  </cols>
  <sheetData>
    <row r="1" spans="1:8" ht="45" x14ac:dyDescent="0.25">
      <c r="A1" s="9" t="s">
        <v>86</v>
      </c>
      <c r="B1" s="9" t="s">
        <v>87</v>
      </c>
      <c r="C1" s="9" t="s">
        <v>88</v>
      </c>
      <c r="D1" s="10" t="s">
        <v>89</v>
      </c>
      <c r="E1" s="10" t="s">
        <v>0</v>
      </c>
      <c r="F1" s="10" t="s">
        <v>90</v>
      </c>
      <c r="G1" s="10" t="s">
        <v>91</v>
      </c>
      <c r="H1" s="9" t="s">
        <v>92</v>
      </c>
    </row>
    <row r="2" spans="1:8" ht="15" customHeight="1" x14ac:dyDescent="0.25">
      <c r="A2" s="18" t="s">
        <v>93</v>
      </c>
      <c r="B2" s="16">
        <v>46294</v>
      </c>
      <c r="C2" s="14" t="s">
        <v>97</v>
      </c>
      <c r="D2" s="20" t="s">
        <v>94</v>
      </c>
      <c r="E2" s="13" t="str">
        <f>HYPERLINK("#'Test Cases'!A2", "TC-001")</f>
        <v>TC-001</v>
      </c>
      <c r="F2" s="11" t="s">
        <v>95</v>
      </c>
      <c r="G2" s="12"/>
      <c r="H2" s="12"/>
    </row>
    <row r="3" spans="1:8" ht="15" customHeight="1" x14ac:dyDescent="0.25">
      <c r="A3" s="19"/>
      <c r="B3" s="17"/>
      <c r="C3" s="15"/>
      <c r="D3" s="21"/>
      <c r="E3" s="13" t="str">
        <f>HYPERLINK("#'Test Cases'!A4", "TC-002")</f>
        <v>TC-002</v>
      </c>
      <c r="F3" s="11" t="s">
        <v>95</v>
      </c>
      <c r="G3" s="12"/>
      <c r="H3" s="12"/>
    </row>
    <row r="4" spans="1:8" ht="15" customHeight="1" x14ac:dyDescent="0.25">
      <c r="A4" s="19"/>
      <c r="B4" s="17"/>
      <c r="C4" s="15"/>
      <c r="D4" s="21"/>
      <c r="E4" s="13" t="str">
        <f>HYPERLINK("#'Test Cases'!A7", "TC-003")</f>
        <v>TC-003</v>
      </c>
      <c r="F4" s="11" t="s">
        <v>95</v>
      </c>
      <c r="G4" s="12"/>
      <c r="H4" s="12"/>
    </row>
    <row r="5" spans="1:8" ht="15" customHeight="1" x14ac:dyDescent="0.25">
      <c r="A5" s="19"/>
      <c r="B5" s="17"/>
      <c r="C5" s="15"/>
      <c r="D5" s="21"/>
      <c r="E5" s="13" t="str">
        <f>HYPERLINK("#'Test Cases'!A9", "TC-004")</f>
        <v>TC-004</v>
      </c>
      <c r="F5" s="11" t="s">
        <v>95</v>
      </c>
      <c r="G5" s="12"/>
      <c r="H5" s="12"/>
    </row>
    <row r="6" spans="1:8" ht="15" customHeight="1" x14ac:dyDescent="0.25">
      <c r="A6" s="19"/>
      <c r="B6" s="17"/>
      <c r="C6" s="15"/>
      <c r="D6" s="21"/>
      <c r="E6" s="13" t="str">
        <f>HYPERLINK("#'Test Cases'!A11", "TC-005")</f>
        <v>TC-005</v>
      </c>
      <c r="F6" s="11" t="s">
        <v>95</v>
      </c>
      <c r="G6" s="12"/>
      <c r="H6" s="12"/>
    </row>
    <row r="7" spans="1:8" ht="15" customHeight="1" x14ac:dyDescent="0.25">
      <c r="A7" s="19"/>
      <c r="B7" s="17"/>
      <c r="C7" s="15"/>
      <c r="D7" s="21"/>
      <c r="E7" s="13" t="str">
        <f>HYPERLINK("#'Test Cases'!A13", "TC-006")</f>
        <v>TC-006</v>
      </c>
      <c r="F7" s="11" t="s">
        <v>95</v>
      </c>
      <c r="G7" s="12"/>
      <c r="H7" s="12"/>
    </row>
    <row r="8" spans="1:8" ht="15" customHeight="1" x14ac:dyDescent="0.25">
      <c r="A8" s="19"/>
      <c r="B8" s="17"/>
      <c r="C8" s="15"/>
      <c r="D8" s="21"/>
      <c r="E8" s="13" t="str">
        <f>HYPERLINK("#'Test Cases'!A15", "TC-007")</f>
        <v>TC-007</v>
      </c>
      <c r="F8" s="11" t="s">
        <v>95</v>
      </c>
      <c r="G8" s="12"/>
      <c r="H8" s="12"/>
    </row>
    <row r="9" spans="1:8" ht="15" customHeight="1" x14ac:dyDescent="0.25">
      <c r="A9" s="19"/>
      <c r="B9" s="17"/>
      <c r="C9" s="15"/>
      <c r="D9" s="21"/>
      <c r="E9" s="13" t="str">
        <f>HYPERLINK("#'Test Cases'!A17", "TC-008")</f>
        <v>TC-008</v>
      </c>
      <c r="F9" s="11" t="s">
        <v>95</v>
      </c>
      <c r="G9" s="12"/>
      <c r="H9" s="12"/>
    </row>
    <row r="10" spans="1:8" ht="15" customHeight="1" x14ac:dyDescent="0.25">
      <c r="A10" s="19"/>
      <c r="B10" s="17"/>
      <c r="C10" s="15"/>
      <c r="D10" s="21"/>
      <c r="E10" s="13" t="str">
        <f>HYPERLINK("#'Test Cases'!A19", "TC-009")</f>
        <v>TC-009</v>
      </c>
      <c r="F10" s="11" t="s">
        <v>95</v>
      </c>
      <c r="G10" s="12"/>
      <c r="H10" s="12"/>
    </row>
    <row r="11" spans="1:8" ht="15" customHeight="1" x14ac:dyDescent="0.25">
      <c r="A11" s="19"/>
      <c r="B11" s="17"/>
      <c r="C11" s="15"/>
      <c r="D11" s="21"/>
      <c r="E11" s="13" t="str">
        <f>HYPERLINK("#'Test Cases'!A21", "TC-010")</f>
        <v>TC-010</v>
      </c>
      <c r="F11" s="11" t="s">
        <v>95</v>
      </c>
      <c r="G11" s="12"/>
      <c r="H11" s="12"/>
    </row>
    <row r="12" spans="1:8" ht="15" customHeight="1" x14ac:dyDescent="0.25">
      <c r="A12" s="19"/>
      <c r="B12" s="17"/>
      <c r="C12" s="15"/>
      <c r="D12" s="21"/>
      <c r="E12" s="13" t="str">
        <f>HYPERLINK("#'Test Cases'!A23", "TC-011")</f>
        <v>TC-011</v>
      </c>
      <c r="F12" s="11" t="s">
        <v>95</v>
      </c>
      <c r="G12" s="12"/>
      <c r="H12" s="12"/>
    </row>
    <row r="13" spans="1:8" ht="15" customHeight="1" x14ac:dyDescent="0.25">
      <c r="A13" s="19"/>
      <c r="B13" s="17"/>
      <c r="C13" s="15"/>
      <c r="D13" s="21"/>
      <c r="E13" s="13" t="str">
        <f>HYPERLINK("#'Test Cases'!A25", "TC-012")</f>
        <v>TC-012</v>
      </c>
      <c r="F13" s="11" t="s">
        <v>95</v>
      </c>
      <c r="G13" s="12"/>
      <c r="H13" s="12"/>
    </row>
    <row r="14" spans="1:8" ht="15" customHeight="1" x14ac:dyDescent="0.25">
      <c r="A14" s="19"/>
      <c r="B14" s="17"/>
      <c r="C14" s="15"/>
      <c r="D14" s="21"/>
      <c r="E14" s="13" t="str">
        <f>HYPERLINK("#'Test Cases'!A27", "TC-013")</f>
        <v>TC-013</v>
      </c>
      <c r="F14" s="11" t="s">
        <v>95</v>
      </c>
      <c r="G14" s="12"/>
      <c r="H14" s="12"/>
    </row>
    <row r="15" spans="1:8" x14ac:dyDescent="0.25">
      <c r="A15" s="19"/>
      <c r="B15" s="17"/>
      <c r="C15" s="15"/>
      <c r="D15" s="21"/>
      <c r="E15" s="13" t="str">
        <f>HYPERLINK("#'Test Cases'!A29", "TC-014")</f>
        <v>TC-014</v>
      </c>
      <c r="F15" s="11" t="s">
        <v>95</v>
      </c>
      <c r="G15" s="12"/>
      <c r="H15" s="12"/>
    </row>
  </sheetData>
  <mergeCells count="4">
    <mergeCell ref="B2:B15"/>
    <mergeCell ref="A2:A15"/>
    <mergeCell ref="D2:D15"/>
    <mergeCell ref="C2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4C0-655D-441E-B17F-AAC60306E869}">
  <dimension ref="A1:M1"/>
  <sheetViews>
    <sheetView workbookViewId="0">
      <selection activeCell="I11" sqref="I11"/>
    </sheetView>
  </sheetViews>
  <sheetFormatPr defaultRowHeight="15" x14ac:dyDescent="0.25"/>
  <cols>
    <col min="1" max="4" width="12.7109375" customWidth="1"/>
    <col min="5" max="8" width="25.7109375" customWidth="1"/>
    <col min="9" max="10" width="12.7109375" customWidth="1"/>
    <col min="11" max="12" width="20.7109375" customWidth="1"/>
    <col min="13" max="13" width="15.7109375" customWidth="1"/>
  </cols>
  <sheetData>
    <row r="1" spans="1:13" ht="90" x14ac:dyDescent="0.25">
      <c r="A1" s="9" t="s">
        <v>92</v>
      </c>
      <c r="B1" s="9" t="s">
        <v>1</v>
      </c>
      <c r="C1" s="9" t="s">
        <v>98</v>
      </c>
      <c r="D1" s="10" t="s">
        <v>86</v>
      </c>
      <c r="E1" s="10" t="s">
        <v>2</v>
      </c>
      <c r="F1" s="10" t="s">
        <v>99</v>
      </c>
      <c r="G1" s="10" t="s">
        <v>4</v>
      </c>
      <c r="H1" s="9" t="s">
        <v>100</v>
      </c>
      <c r="I1" s="9" t="s">
        <v>101</v>
      </c>
      <c r="J1" s="9" t="s">
        <v>6</v>
      </c>
      <c r="K1" s="9" t="s">
        <v>102</v>
      </c>
      <c r="L1" s="10" t="s">
        <v>103</v>
      </c>
      <c r="M1" s="1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2026-09-29T10:32:20Z</dcterms:modified>
</cp:coreProperties>
</file>