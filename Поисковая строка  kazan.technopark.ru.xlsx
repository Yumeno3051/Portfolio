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jl\Downloads\Доработки\"/>
    </mc:Choice>
  </mc:AlternateContent>
  <xr:revisionPtr revIDLastSave="0" documentId="13_ncr:1_{63E48F32-0B39-4063-864A-6FCB71E5102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" l="1"/>
  <c r="D4" i="3"/>
  <c r="H18" i="2"/>
  <c r="E18" i="2"/>
  <c r="E19" i="2"/>
  <c r="H6" i="2"/>
  <c r="C3" i="3"/>
  <c r="C2" i="3"/>
  <c r="H3" i="2"/>
  <c r="D3" i="3"/>
  <c r="E12" i="2"/>
  <c r="E15" i="2"/>
  <c r="E11" i="2"/>
  <c r="E10" i="2"/>
  <c r="E7" i="2"/>
  <c r="E6" i="2"/>
  <c r="E2" i="2"/>
  <c r="E16" i="2"/>
  <c r="E17" i="2"/>
  <c r="D2" i="3"/>
  <c r="E14" i="2"/>
  <c r="E13" i="2"/>
  <c r="E9" i="2"/>
  <c r="E8" i="2"/>
  <c r="E5" i="2"/>
  <c r="E4" i="2"/>
  <c r="E3" i="2"/>
</calcChain>
</file>

<file path=xl/sharedStrings.xml><?xml version="1.0" encoding="utf-8"?>
<sst xmlns="http://schemas.openxmlformats.org/spreadsheetml/2006/main" count="284" uniqueCount="132">
  <si>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</si>
  <si>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</si>
  <si>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</si>
  <si>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</si>
  <si>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</si>
  <si>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</si>
  <si>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</si>
  <si>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</si>
  <si>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</si>
  <si>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</si>
  <si>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</si>
  <si>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</si>
  <si>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</si>
  <si>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</si>
  <si>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</si>
  <si>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</si>
  <si>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</si>
  <si>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</si>
  <si>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</si>
  <si>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</si>
  <si>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</si>
  <si>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</si>
  <si>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</si>
  <si>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</si>
  <si>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</si>
  <si>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</si>
  <si>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>Нажать кнопку поиск</t>
  </si>
  <si>
    <t>Пользователь находится на странице с результатом поиска</t>
  </si>
  <si>
    <t>Функциональное: Поисковая строка</t>
  </si>
  <si>
    <t>Нажать на поле Поиск</t>
  </si>
  <si>
    <t>Курсор изменяется, показывая что элемент активный</t>
  </si>
  <si>
    <t>Поле принимает данные без ошибок валидации</t>
  </si>
  <si>
    <t>TC-002</t>
  </si>
  <si>
    <t>Поисковая строка: частичное совпадение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</si>
  <si>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</si>
  <si>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</si>
  <si>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</si>
  <si>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</si>
  <si>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</si>
  <si>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</si>
  <si>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</si>
  <si>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</si>
  <si>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</si>
  <si>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</si>
  <si>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</si>
  <si>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</si>
  <si>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</si>
  <si>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</si>
  <si>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</si>
  <si>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</si>
  <si>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</si>
  <si>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</si>
  <si>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</si>
  <si>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</si>
  <si>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</si>
  <si>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</si>
  <si>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</si>
  <si>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Поле принимает данные без выполнения скрипта</t>
  </si>
  <si>
    <t>Ввести в поисковую строку: (100+ символов)</t>
  </si>
  <si>
    <t>Поле принимает данные в пределах допустимой длины</t>
  </si>
  <si>
    <t>Система выдала страницу с результатами, идентичными поиску в нижнем регистре</t>
  </si>
  <si>
    <t>Выполнить успешный поиск</t>
  </si>
  <si>
    <t>Отображается страница с результатами</t>
  </si>
  <si>
    <t>Ввести в поисковую строку: "&lt;script&gt;alert(1)&lt;/script&gt;"</t>
  </si>
  <si>
    <t>Система корректно обрабатывает запрос, ошибка сервера не возникает</t>
  </si>
  <si>
    <t>Название отображается корректно</t>
  </si>
  <si>
    <t>BR-001</t>
  </si>
  <si>
    <t>Major</t>
  </si>
  <si>
    <t>Windows 10/ Yandex Версия
26.8.2.1064 (64-bit)</t>
  </si>
  <si>
    <t>False</t>
  </si>
  <si>
    <t>Medium</t>
  </si>
  <si>
    <t>Поисковая строка: Обработка опечаток в словах</t>
  </si>
  <si>
    <t>Поисковая строка: Поиск со специальными символами (XSS/SQL-инъекции)</t>
  </si>
  <si>
    <t>Система выполняет поиск или показывает сообщение о минимальной длине запроса</t>
  </si>
  <si>
    <t>Поисковая строка: Поиск с неправильной раскладкой</t>
  </si>
  <si>
    <t>TC-016</t>
  </si>
  <si>
    <t>Поисковая строка: Проверка автодополнения/подсказок</t>
  </si>
  <si>
    <t>Подождать 1-2 секунды</t>
  </si>
  <si>
    <t>Low</t>
  </si>
  <si>
    <t>High</t>
  </si>
  <si>
    <t>BR-002</t>
  </si>
  <si>
    <t>Система выдала страницу с сообщением «По вашему запросу ничего не найдено»</t>
  </si>
  <si>
    <t>Ввести в поисковую строку: Генер</t>
  </si>
  <si>
    <t>Система выдала страницу с товарами, содержащими подстроку «Генер»</t>
  </si>
  <si>
    <t>Поисковая строка: Поиск несуществующего товара</t>
  </si>
  <si>
    <t>Проверить наличие названия товара</t>
  </si>
  <si>
    <t>Проверить наличие цены</t>
  </si>
  <si>
    <t>Проверить ссылку на карточку товара</t>
  </si>
  <si>
    <t>Цена отображается корректно</t>
  </si>
  <si>
    <t>Ссылка ведёт на страницу товара</t>
  </si>
  <si>
    <t>Ввести в поисковую строку: Холодильник</t>
  </si>
  <si>
    <t>Система выдала страницу с результатами, содержащими товары категории «Холодильники»</t>
  </si>
  <si>
    <t>Ввести в поисковую строку: Samsung</t>
  </si>
  <si>
    <t>Поисковая строка:  Поиск по бренду (латиница)</t>
  </si>
  <si>
    <t>Система выдала страницу с товарами бренда Samsung</t>
  </si>
  <si>
    <t>Поисковая строка: Поиск по модели товара</t>
  </si>
  <si>
    <t>Ввести в поисковую строку: LG OLED55C4</t>
  </si>
  <si>
    <t>Система выдала страницу с товаром, соответствующим модели</t>
  </si>
  <si>
    <t>Поисковая строка: Поиск с цифрами в запросе (характеристика)</t>
  </si>
  <si>
    <t>Ввести в поисковую строку: 55 дюймов</t>
  </si>
  <si>
    <t>Система выдала страницу с телевизорами с диагональю 55 дюймов</t>
  </si>
  <si>
    <t>Ввести в поисковую строку: Холодильнек (с ошибкой)</t>
  </si>
  <si>
    <t>Система выдала релевантные результаты (холодильники) или предложение «Возможно, вы имели в виду Холодильник»</t>
  </si>
  <si>
    <t>Ввести в поисковую строку: суперхолодильник3000</t>
  </si>
  <si>
    <t>Ввести в поисковую строку: Х</t>
  </si>
  <si>
    <t>Ввести в поисковую строку: ХОЛОДИЛЬНИК</t>
  </si>
  <si>
    <t>Ввести в поисковую строку: [jkjlbkmybr</t>
  </si>
  <si>
    <t>Система распознаёт раскладку и выдаёт товары «Холодильник», либо предлагает исправление</t>
  </si>
  <si>
    <t>Проверить наличие изображения</t>
  </si>
  <si>
    <t>Изображение загружается без ошибок</t>
  </si>
  <si>
    <t>Появляется выпадающий список с подсказками (например, «Холодильник», «Холодильник Samsung»)</t>
  </si>
  <si>
    <t>Начать вводить запрос: Холод</t>
  </si>
  <si>
    <t>Система выдала 88 товаров, среди которых холодильники LG, Liebherr. Генераторов в выдаче нет. Категории в фильтре — «Холодильники», «Встраиваемые холодильники»</t>
  </si>
  <si>
    <t>https://prnt.sc/H2h00cMCXtxz</t>
  </si>
  <si>
    <t>Система выдала 395 товаров, среди которых холодильники Liebherr, Samsung, Midea и стиральные машины LG. Телевизоры — в фильтре (60 шт.), но не в топе выдачи</t>
  </si>
  <si>
    <t>https://prnt.sc/f0nM60buGAoL</t>
  </si>
  <si>
    <t>Система не отправляет форму</t>
  </si>
  <si>
    <t>Поисковая строка: Поиск по полному названию товара</t>
  </si>
  <si>
    <t>Нерелевантная выдача по частичному запросу «Генер»</t>
  </si>
  <si>
    <t>Нерелевантная выдача по характеристике «55 дюймов»</t>
  </si>
  <si>
    <t>TC-017</t>
  </si>
  <si>
    <t>TC-018</t>
  </si>
  <si>
    <t>Поисковая строка: Поиск по синониму категории (холодильник)</t>
  </si>
  <si>
    <t>Ввести в поисковую строку: Рефрижератор</t>
  </si>
  <si>
    <t>Система выдала страницу с товарами категории «Холодильники» (синоним «Рефрижератор»)</t>
  </si>
  <si>
    <t>Поисковая строка: Поиск по синониму категории (Стиральная машина)</t>
  </si>
  <si>
    <t>Ввести в поисковую строку: Стиралка</t>
  </si>
  <si>
    <t>Система выдала страницу с товарами категории «Стиральные машины» (синоним «Стиралка»)</t>
  </si>
  <si>
    <t>BR-003</t>
  </si>
  <si>
    <t>Система выдала 9 нерелевантных товаров: распределители кофе BORK, дегидратор Liebherr. Холодильников в выдаче нет. Категории в фильтре — «Дегидраторы», «Аксессуары для кофеварок», «Стерилизаторы»</t>
  </si>
  <si>
    <t>Поиск не распознаёт синонимы — «Рефрижератор» не находит категорию «Холодильники»</t>
  </si>
  <si>
    <t>https://prnt.sc/V1JMLjFhPA7B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</si>
</sst>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Times New Roman"/>
      <family val="1"/>
      <charset val="204"/>
    </font>
    <font>
      <u/>
      <sz val="11"/>
      <name val="Calibri"/>
      <family val="2"/>
      <scheme val="minor"/>
    </font>
    <font>
      <sz val="12"/>
      <name val="Times New Roman"/>
      <family val="1"/>
      <charset val="204"/>
    </font>
    <font>
      <sz val="12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7" fillId="4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3" fillId="0" borderId="17" xfId="1" applyBorder="1" applyAlignment="1">
      <alignment horizontal="center" vertical="center"/>
    </xf>
    <xf numFmtId="0" fontId="3" fillId="0" borderId="17" xfId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3" fillId="0" borderId="19" xfId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18" xfId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51" zoomScale="70" zoomScaleNormal="70" workbookViewId="0">
      <selection activeCell="E54" sqref="E54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122.25" customHeight="1" x14ac:dyDescent="0.25">
      <c r="A2" s="38" t="s">
        <v>25</v>
      </c>
      <c r="B2" s="41" t="s">
        <v>117</v>
      </c>
      <c r="C2" s="41" t="s">
        <v>24</v>
      </c>
      <c r="D2" s="12" t="s">
        <v>29</v>
      </c>
      <c r="E2" s="12" t="s">
        <v>30</v>
      </c>
      <c r="F2" s="41" t="s">
        <v>27</v>
      </c>
      <c r="G2" s="44" t="s">
        <v>79</v>
      </c>
    </row>
    <row r="3" spans="1:7" ht="95.25" customHeight="1" x14ac:dyDescent="0.25">
      <c r="A3" s="39"/>
      <c r="B3" s="42"/>
      <c r="C3" s="42"/>
      <c r="D3" s="13" t="s">
        <v>90</v>
      </c>
      <c r="E3" s="13" t="s">
        <v>31</v>
      </c>
      <c r="F3" s="42"/>
      <c r="G3" s="45"/>
    </row>
    <row r="4" spans="1:7" ht="188.25" customHeight="1" thickBot="1" x14ac:dyDescent="0.3">
      <c r="A4" s="40"/>
      <c r="B4" s="43"/>
      <c r="C4" s="43"/>
      <c r="D4" s="14" t="s">
        <v>26</v>
      </c>
      <c r="E4" s="15" t="s">
        <v>91</v>
      </c>
      <c r="F4" s="43"/>
      <c r="G4" s="46"/>
    </row>
    <row r="5" spans="1:7" ht="75.75" customHeight="1" x14ac:dyDescent="0.25">
      <c r="A5" s="47" t="s">
        <v>32</v>
      </c>
      <c r="B5" s="41" t="s">
        <v>33</v>
      </c>
      <c r="C5" s="41" t="s">
        <v>24</v>
      </c>
      <c r="D5" s="12" t="s">
        <v>29</v>
      </c>
      <c r="E5" s="12" t="s">
        <v>30</v>
      </c>
      <c r="F5" s="41" t="s">
        <v>27</v>
      </c>
      <c r="G5" s="44" t="s">
        <v>79</v>
      </c>
    </row>
    <row r="6" spans="1:7" ht="54.75" customHeight="1" x14ac:dyDescent="0.25">
      <c r="A6" s="48"/>
      <c r="B6" s="42"/>
      <c r="C6" s="42"/>
      <c r="D6" s="13" t="s">
        <v>82</v>
      </c>
      <c r="E6" s="13" t="s">
        <v>31</v>
      </c>
      <c r="F6" s="42"/>
      <c r="G6" s="45"/>
    </row>
    <row r="7" spans="1:7" ht="96.75" customHeight="1" thickBot="1" x14ac:dyDescent="0.3">
      <c r="A7" s="49"/>
      <c r="B7" s="43"/>
      <c r="C7" s="43"/>
      <c r="D7" s="14" t="s">
        <v>26</v>
      </c>
      <c r="E7" s="15" t="s">
        <v>83</v>
      </c>
      <c r="F7" s="43"/>
      <c r="G7" s="46"/>
    </row>
    <row r="8" spans="1:7" ht="83.25" customHeight="1" x14ac:dyDescent="0.25">
      <c r="A8" s="38" t="s">
        <v>34</v>
      </c>
      <c r="B8" s="41" t="s">
        <v>93</v>
      </c>
      <c r="C8" s="41" t="s">
        <v>24</v>
      </c>
      <c r="D8" s="12" t="s">
        <v>29</v>
      </c>
      <c r="E8" s="12" t="s">
        <v>30</v>
      </c>
      <c r="F8" s="41" t="s">
        <v>27</v>
      </c>
      <c r="G8" s="44" t="s">
        <v>70</v>
      </c>
    </row>
    <row r="9" spans="1:7" ht="58.5" customHeight="1" x14ac:dyDescent="0.25">
      <c r="A9" s="39"/>
      <c r="B9" s="42"/>
      <c r="C9" s="42"/>
      <c r="D9" s="13" t="s">
        <v>92</v>
      </c>
      <c r="E9" s="13" t="s">
        <v>31</v>
      </c>
      <c r="F9" s="42"/>
      <c r="G9" s="45"/>
    </row>
    <row r="10" spans="1:7" ht="77.25" customHeight="1" thickBot="1" x14ac:dyDescent="0.3">
      <c r="A10" s="40"/>
      <c r="B10" s="43"/>
      <c r="C10" s="43"/>
      <c r="D10" s="14" t="s">
        <v>26</v>
      </c>
      <c r="E10" s="15" t="s">
        <v>94</v>
      </c>
      <c r="F10" s="43"/>
      <c r="G10" s="46"/>
    </row>
    <row r="11" spans="1:7" ht="92.25" customHeight="1" x14ac:dyDescent="0.25">
      <c r="A11" s="38" t="s">
        <v>35</v>
      </c>
      <c r="B11" s="41" t="s">
        <v>95</v>
      </c>
      <c r="C11" s="41" t="s">
        <v>24</v>
      </c>
      <c r="D11" s="12" t="s">
        <v>29</v>
      </c>
      <c r="E11" s="12" t="s">
        <v>30</v>
      </c>
      <c r="F11" s="41" t="s">
        <v>27</v>
      </c>
      <c r="G11" s="44" t="s">
        <v>79</v>
      </c>
    </row>
    <row r="12" spans="1:7" ht="95.25" customHeight="1" x14ac:dyDescent="0.25">
      <c r="A12" s="39"/>
      <c r="B12" s="42"/>
      <c r="C12" s="42"/>
      <c r="D12" s="13" t="s">
        <v>96</v>
      </c>
      <c r="E12" s="13" t="s">
        <v>31</v>
      </c>
      <c r="F12" s="42"/>
      <c r="G12" s="45"/>
    </row>
    <row r="13" spans="1:7" ht="90" customHeight="1" thickBot="1" x14ac:dyDescent="0.3">
      <c r="A13" s="40"/>
      <c r="B13" s="43"/>
      <c r="C13" s="43"/>
      <c r="D13" s="14" t="s">
        <v>26</v>
      </c>
      <c r="E13" s="15" t="s">
        <v>97</v>
      </c>
      <c r="F13" s="43"/>
      <c r="G13" s="46"/>
    </row>
    <row r="14" spans="1:7" ht="63" x14ac:dyDescent="0.25">
      <c r="A14" s="47" t="s">
        <v>36</v>
      </c>
      <c r="B14" s="41" t="s">
        <v>98</v>
      </c>
      <c r="C14" s="41" t="s">
        <v>24</v>
      </c>
      <c r="D14" s="12" t="s">
        <v>29</v>
      </c>
      <c r="E14" s="12" t="s">
        <v>30</v>
      </c>
      <c r="F14" s="41" t="s">
        <v>27</v>
      </c>
      <c r="G14" s="44" t="s">
        <v>70</v>
      </c>
    </row>
    <row r="15" spans="1:7" ht="47.25" x14ac:dyDescent="0.25">
      <c r="A15" s="48"/>
      <c r="B15" s="42"/>
      <c r="C15" s="42"/>
      <c r="D15" s="13" t="s">
        <v>99</v>
      </c>
      <c r="E15" s="13" t="s">
        <v>31</v>
      </c>
      <c r="F15" s="42"/>
      <c r="G15" s="45"/>
    </row>
    <row r="16" spans="1:7" ht="79.5" thickBot="1" x14ac:dyDescent="0.3">
      <c r="A16" s="49"/>
      <c r="B16" s="43"/>
      <c r="C16" s="43"/>
      <c r="D16" s="14" t="s">
        <v>26</v>
      </c>
      <c r="E16" s="15" t="s">
        <v>100</v>
      </c>
      <c r="F16" s="43"/>
      <c r="G16" s="46"/>
    </row>
    <row r="17" spans="1:7" ht="67.5" customHeight="1" x14ac:dyDescent="0.25">
      <c r="A17" s="38" t="s">
        <v>37</v>
      </c>
      <c r="B17" s="41" t="s">
        <v>71</v>
      </c>
      <c r="C17" s="41" t="s">
        <v>24</v>
      </c>
      <c r="D17" s="12" t="s">
        <v>29</v>
      </c>
      <c r="E17" s="12" t="s">
        <v>30</v>
      </c>
      <c r="F17" s="41" t="s">
        <v>27</v>
      </c>
      <c r="G17" s="44" t="s">
        <v>70</v>
      </c>
    </row>
    <row r="18" spans="1:7" ht="75" customHeight="1" x14ac:dyDescent="0.25">
      <c r="A18" s="39"/>
      <c r="B18" s="42"/>
      <c r="C18" s="42"/>
      <c r="D18" s="13" t="s">
        <v>101</v>
      </c>
      <c r="E18" s="13" t="s">
        <v>31</v>
      </c>
      <c r="F18" s="42"/>
      <c r="G18" s="45"/>
    </row>
    <row r="19" spans="1:7" ht="160.5" customHeight="1" thickBot="1" x14ac:dyDescent="0.3">
      <c r="A19" s="40"/>
      <c r="B19" s="43"/>
      <c r="C19" s="43"/>
      <c r="D19" s="14" t="s">
        <v>26</v>
      </c>
      <c r="E19" s="15" t="s">
        <v>102</v>
      </c>
      <c r="F19" s="43"/>
      <c r="G19" s="46"/>
    </row>
    <row r="20" spans="1:7" ht="60" customHeight="1" x14ac:dyDescent="0.25">
      <c r="A20" s="38" t="s">
        <v>38</v>
      </c>
      <c r="B20" s="41" t="s">
        <v>84</v>
      </c>
      <c r="C20" s="41" t="s">
        <v>24</v>
      </c>
      <c r="D20" s="12" t="s">
        <v>29</v>
      </c>
      <c r="E20" s="12" t="s">
        <v>30</v>
      </c>
      <c r="F20" s="41" t="s">
        <v>27</v>
      </c>
      <c r="G20" s="44" t="s">
        <v>79</v>
      </c>
    </row>
    <row r="21" spans="1:7" ht="71.25" customHeight="1" x14ac:dyDescent="0.25">
      <c r="A21" s="39"/>
      <c r="B21" s="42"/>
      <c r="C21" s="42"/>
      <c r="D21" s="13" t="s">
        <v>103</v>
      </c>
      <c r="E21" s="13" t="s">
        <v>31</v>
      </c>
      <c r="F21" s="42"/>
      <c r="G21" s="45"/>
    </row>
    <row r="22" spans="1:7" ht="126" customHeight="1" thickBot="1" x14ac:dyDescent="0.3">
      <c r="A22" s="40"/>
      <c r="B22" s="43"/>
      <c r="C22" s="43"/>
      <c r="D22" s="14" t="s">
        <v>26</v>
      </c>
      <c r="E22" s="15" t="s">
        <v>81</v>
      </c>
      <c r="F22" s="43"/>
      <c r="G22" s="46"/>
    </row>
    <row r="23" spans="1:7" ht="63" x14ac:dyDescent="0.25">
      <c r="A23" s="38" t="s">
        <v>39</v>
      </c>
      <c r="B23" s="41" t="s">
        <v>47</v>
      </c>
      <c r="C23" s="41" t="s">
        <v>24</v>
      </c>
      <c r="D23" s="12" t="s">
        <v>29</v>
      </c>
      <c r="E23" s="12" t="s">
        <v>30</v>
      </c>
      <c r="F23" s="41" t="s">
        <v>27</v>
      </c>
      <c r="G23" s="44" t="s">
        <v>79</v>
      </c>
    </row>
    <row r="24" spans="1:7" ht="47.25" customHeight="1" x14ac:dyDescent="0.25">
      <c r="A24" s="39"/>
      <c r="B24" s="42"/>
      <c r="C24" s="42"/>
      <c r="D24" s="13" t="s">
        <v>53</v>
      </c>
      <c r="E24" s="13" t="s">
        <v>54</v>
      </c>
      <c r="F24" s="42"/>
      <c r="G24" s="45"/>
    </row>
    <row r="25" spans="1:7" ht="32.25" thickBot="1" x14ac:dyDescent="0.3">
      <c r="A25" s="40"/>
      <c r="B25" s="43"/>
      <c r="C25" s="43"/>
      <c r="D25" s="14" t="s">
        <v>26</v>
      </c>
      <c r="E25" s="15" t="s">
        <v>116</v>
      </c>
      <c r="F25" s="43"/>
      <c r="G25" s="46"/>
    </row>
    <row r="26" spans="1:7" ht="49.5" customHeight="1" x14ac:dyDescent="0.25">
      <c r="A26" s="38" t="s">
        <v>40</v>
      </c>
      <c r="B26" s="41" t="s">
        <v>48</v>
      </c>
      <c r="C26" s="41" t="s">
        <v>24</v>
      </c>
      <c r="D26" s="12" t="s">
        <v>29</v>
      </c>
      <c r="E26" s="12" t="s">
        <v>30</v>
      </c>
      <c r="F26" s="41" t="s">
        <v>27</v>
      </c>
      <c r="G26" s="44" t="s">
        <v>79</v>
      </c>
    </row>
    <row r="27" spans="1:7" ht="75" customHeight="1" x14ac:dyDescent="0.25">
      <c r="A27" s="39"/>
      <c r="B27" s="42"/>
      <c r="C27" s="42"/>
      <c r="D27" s="13" t="s">
        <v>55</v>
      </c>
      <c r="E27" s="13" t="s">
        <v>56</v>
      </c>
      <c r="F27" s="42"/>
      <c r="G27" s="45"/>
    </row>
    <row r="28" spans="1:7" ht="103.5" customHeight="1" thickBot="1" x14ac:dyDescent="0.3">
      <c r="A28" s="40"/>
      <c r="B28" s="43"/>
      <c r="C28" s="43"/>
      <c r="D28" s="14" t="s">
        <v>26</v>
      </c>
      <c r="E28" s="15" t="s">
        <v>116</v>
      </c>
      <c r="F28" s="43"/>
      <c r="G28" s="46"/>
    </row>
    <row r="29" spans="1:7" ht="63" x14ac:dyDescent="0.25">
      <c r="A29" s="38" t="s">
        <v>41</v>
      </c>
      <c r="B29" s="41" t="s">
        <v>72</v>
      </c>
      <c r="C29" s="41" t="s">
        <v>24</v>
      </c>
      <c r="D29" s="12" t="s">
        <v>29</v>
      </c>
      <c r="E29" s="12" t="s">
        <v>30</v>
      </c>
      <c r="F29" s="41" t="s">
        <v>27</v>
      </c>
      <c r="G29" s="44" t="s">
        <v>79</v>
      </c>
    </row>
    <row r="30" spans="1:7" ht="62.25" customHeight="1" x14ac:dyDescent="0.25">
      <c r="A30" s="39"/>
      <c r="B30" s="42"/>
      <c r="C30" s="42"/>
      <c r="D30" s="16" t="s">
        <v>63</v>
      </c>
      <c r="E30" s="13" t="s">
        <v>57</v>
      </c>
      <c r="F30" s="42"/>
      <c r="G30" s="45"/>
    </row>
    <row r="31" spans="1:7" ht="127.5" customHeight="1" thickBot="1" x14ac:dyDescent="0.3">
      <c r="A31" s="40"/>
      <c r="B31" s="43"/>
      <c r="C31" s="43"/>
      <c r="D31" s="14" t="s">
        <v>26</v>
      </c>
      <c r="E31" s="15" t="s">
        <v>116</v>
      </c>
      <c r="F31" s="43"/>
      <c r="G31" s="46"/>
    </row>
    <row r="32" spans="1:7" ht="63" x14ac:dyDescent="0.25">
      <c r="A32" s="38" t="s">
        <v>42</v>
      </c>
      <c r="B32" s="41" t="s">
        <v>49</v>
      </c>
      <c r="C32" s="41" t="s">
        <v>24</v>
      </c>
      <c r="D32" s="12" t="s">
        <v>29</v>
      </c>
      <c r="E32" s="12" t="s">
        <v>30</v>
      </c>
      <c r="F32" s="41" t="s">
        <v>27</v>
      </c>
      <c r="G32" s="44" t="s">
        <v>70</v>
      </c>
    </row>
    <row r="33" spans="1:7" ht="47.25" x14ac:dyDescent="0.25">
      <c r="A33" s="39"/>
      <c r="B33" s="42"/>
      <c r="C33" s="42"/>
      <c r="D33" s="13" t="s">
        <v>104</v>
      </c>
      <c r="E33" s="13" t="s">
        <v>31</v>
      </c>
      <c r="F33" s="42"/>
      <c r="G33" s="45"/>
    </row>
    <row r="34" spans="1:7" ht="95.25" thickBot="1" x14ac:dyDescent="0.3">
      <c r="A34" s="40"/>
      <c r="B34" s="43"/>
      <c r="C34" s="43"/>
      <c r="D34" s="14" t="s">
        <v>26</v>
      </c>
      <c r="E34" s="15" t="s">
        <v>73</v>
      </c>
      <c r="F34" s="43"/>
      <c r="G34" s="46"/>
    </row>
    <row r="35" spans="1:7" ht="30" customHeight="1" x14ac:dyDescent="0.25">
      <c r="A35" s="38" t="s">
        <v>43</v>
      </c>
      <c r="B35" s="41" t="s">
        <v>50</v>
      </c>
      <c r="C35" s="41" t="s">
        <v>24</v>
      </c>
      <c r="D35" s="12" t="s">
        <v>29</v>
      </c>
      <c r="E35" s="12" t="s">
        <v>30</v>
      </c>
      <c r="F35" s="41" t="s">
        <v>27</v>
      </c>
      <c r="G35" s="44" t="s">
        <v>70</v>
      </c>
    </row>
    <row r="36" spans="1:7" ht="76.5" customHeight="1" x14ac:dyDescent="0.25">
      <c r="A36" s="39"/>
      <c r="B36" s="42"/>
      <c r="C36" s="42"/>
      <c r="D36" s="13" t="s">
        <v>58</v>
      </c>
      <c r="E36" s="13" t="s">
        <v>59</v>
      </c>
      <c r="F36" s="42"/>
      <c r="G36" s="45"/>
    </row>
    <row r="37" spans="1:7" ht="97.5" customHeight="1" thickBot="1" x14ac:dyDescent="0.3">
      <c r="A37" s="40"/>
      <c r="B37" s="43"/>
      <c r="C37" s="43"/>
      <c r="D37" s="14" t="s">
        <v>26</v>
      </c>
      <c r="E37" s="15" t="s">
        <v>64</v>
      </c>
      <c r="F37" s="43"/>
      <c r="G37" s="46"/>
    </row>
    <row r="38" spans="1:7" ht="63" x14ac:dyDescent="0.25">
      <c r="A38" s="38" t="s">
        <v>44</v>
      </c>
      <c r="B38" s="41" t="s">
        <v>51</v>
      </c>
      <c r="C38" s="41" t="s">
        <v>24</v>
      </c>
      <c r="D38" s="12" t="s">
        <v>29</v>
      </c>
      <c r="E38" s="12" t="s">
        <v>30</v>
      </c>
      <c r="F38" s="41" t="s">
        <v>27</v>
      </c>
      <c r="G38" s="44" t="s">
        <v>79</v>
      </c>
    </row>
    <row r="39" spans="1:7" ht="47.25" x14ac:dyDescent="0.25">
      <c r="A39" s="39"/>
      <c r="B39" s="42"/>
      <c r="C39" s="42"/>
      <c r="D39" s="13" t="s">
        <v>105</v>
      </c>
      <c r="E39" s="13" t="s">
        <v>31</v>
      </c>
      <c r="F39" s="42"/>
      <c r="G39" s="45"/>
    </row>
    <row r="40" spans="1:7" ht="117.75" customHeight="1" thickBot="1" x14ac:dyDescent="0.3">
      <c r="A40" s="40"/>
      <c r="B40" s="43"/>
      <c r="C40" s="43"/>
      <c r="D40" s="14" t="s">
        <v>26</v>
      </c>
      <c r="E40" s="15" t="s">
        <v>60</v>
      </c>
      <c r="F40" s="43"/>
      <c r="G40" s="46"/>
    </row>
    <row r="41" spans="1:7" ht="48.75" customHeight="1" x14ac:dyDescent="0.25">
      <c r="A41" s="38" t="s">
        <v>45</v>
      </c>
      <c r="B41" s="41" t="s">
        <v>74</v>
      </c>
      <c r="C41" s="41" t="s">
        <v>24</v>
      </c>
      <c r="D41" s="12" t="s">
        <v>29</v>
      </c>
      <c r="E41" s="12" t="s">
        <v>30</v>
      </c>
      <c r="F41" s="41" t="s">
        <v>27</v>
      </c>
      <c r="G41" s="44" t="s">
        <v>70</v>
      </c>
    </row>
    <row r="42" spans="1:7" ht="60" customHeight="1" x14ac:dyDescent="0.25">
      <c r="A42" s="39"/>
      <c r="B42" s="42"/>
      <c r="C42" s="42"/>
      <c r="D42" s="13" t="s">
        <v>106</v>
      </c>
      <c r="E42" s="13" t="s">
        <v>31</v>
      </c>
      <c r="F42" s="42"/>
      <c r="G42" s="45"/>
    </row>
    <row r="43" spans="1:7" ht="97.5" customHeight="1" thickBot="1" x14ac:dyDescent="0.3">
      <c r="A43" s="39"/>
      <c r="B43" s="42"/>
      <c r="C43" s="42"/>
      <c r="D43" s="17" t="s">
        <v>26</v>
      </c>
      <c r="E43" s="17" t="s">
        <v>107</v>
      </c>
      <c r="F43" s="42"/>
      <c r="G43" s="45"/>
    </row>
    <row r="44" spans="1:7" ht="64.5" customHeight="1" x14ac:dyDescent="0.25">
      <c r="A44" s="38" t="s">
        <v>46</v>
      </c>
      <c r="B44" s="41" t="s">
        <v>52</v>
      </c>
      <c r="C44" s="41" t="s">
        <v>24</v>
      </c>
      <c r="D44" s="12" t="s">
        <v>61</v>
      </c>
      <c r="E44" s="12" t="s">
        <v>62</v>
      </c>
      <c r="F44" s="41" t="s">
        <v>27</v>
      </c>
      <c r="G44" s="44" t="s">
        <v>79</v>
      </c>
    </row>
    <row r="45" spans="1:7" ht="64.5" customHeight="1" x14ac:dyDescent="0.25">
      <c r="A45" s="39"/>
      <c r="B45" s="42"/>
      <c r="C45" s="42"/>
      <c r="D45" s="13" t="s">
        <v>85</v>
      </c>
      <c r="E45" s="13" t="s">
        <v>65</v>
      </c>
      <c r="F45" s="42"/>
      <c r="G45" s="45"/>
    </row>
    <row r="46" spans="1:7" ht="64.5" customHeight="1" x14ac:dyDescent="0.25">
      <c r="A46" s="39"/>
      <c r="B46" s="42"/>
      <c r="C46" s="42"/>
      <c r="D46" s="13" t="s">
        <v>86</v>
      </c>
      <c r="E46" s="13" t="s">
        <v>88</v>
      </c>
      <c r="F46" s="42"/>
      <c r="G46" s="45"/>
    </row>
    <row r="47" spans="1:7" ht="90" customHeight="1" x14ac:dyDescent="0.25">
      <c r="A47" s="39"/>
      <c r="B47" s="42"/>
      <c r="C47" s="42"/>
      <c r="D47" s="13" t="s">
        <v>108</v>
      </c>
      <c r="E47" s="18" t="s">
        <v>109</v>
      </c>
      <c r="F47" s="42"/>
      <c r="G47" s="45"/>
    </row>
    <row r="48" spans="1:7" ht="59.25" customHeight="1" thickBot="1" x14ac:dyDescent="0.3">
      <c r="A48" s="39"/>
      <c r="B48" s="42"/>
      <c r="C48" s="42"/>
      <c r="D48" s="18" t="s">
        <v>87</v>
      </c>
      <c r="E48" s="18" t="s">
        <v>89</v>
      </c>
      <c r="F48" s="42"/>
      <c r="G48" s="45"/>
    </row>
    <row r="49" spans="1:7" ht="66.75" customHeight="1" x14ac:dyDescent="0.25">
      <c r="A49" s="38" t="s">
        <v>75</v>
      </c>
      <c r="B49" s="41" t="s">
        <v>76</v>
      </c>
      <c r="C49" s="41" t="s">
        <v>24</v>
      </c>
      <c r="D49" s="12" t="s">
        <v>29</v>
      </c>
      <c r="E49" s="12" t="s">
        <v>30</v>
      </c>
      <c r="F49" s="41" t="s">
        <v>27</v>
      </c>
      <c r="G49" s="44" t="s">
        <v>78</v>
      </c>
    </row>
    <row r="50" spans="1:7" ht="49.5" customHeight="1" x14ac:dyDescent="0.25">
      <c r="A50" s="39"/>
      <c r="B50" s="42"/>
      <c r="C50" s="42"/>
      <c r="D50" s="13" t="s">
        <v>111</v>
      </c>
      <c r="E50" s="13" t="s">
        <v>31</v>
      </c>
      <c r="F50" s="42"/>
      <c r="G50" s="45"/>
    </row>
    <row r="51" spans="1:7" ht="135" customHeight="1" thickBot="1" x14ac:dyDescent="0.3">
      <c r="A51" s="40"/>
      <c r="B51" s="43"/>
      <c r="C51" s="43"/>
      <c r="D51" s="14" t="s">
        <v>77</v>
      </c>
      <c r="E51" s="14" t="s">
        <v>110</v>
      </c>
      <c r="F51" s="43"/>
      <c r="G51" s="46"/>
    </row>
    <row r="52" spans="1:7" ht="97.5" customHeight="1" x14ac:dyDescent="0.25">
      <c r="A52" s="38" t="s">
        <v>120</v>
      </c>
      <c r="B52" s="41" t="s">
        <v>122</v>
      </c>
      <c r="C52" s="41" t="s">
        <v>24</v>
      </c>
      <c r="D52" s="12" t="s">
        <v>29</v>
      </c>
      <c r="E52" s="12" t="s">
        <v>30</v>
      </c>
      <c r="F52" s="41" t="s">
        <v>27</v>
      </c>
      <c r="G52" s="44" t="s">
        <v>79</v>
      </c>
    </row>
    <row r="53" spans="1:7" ht="97.5" customHeight="1" x14ac:dyDescent="0.25">
      <c r="A53" s="39"/>
      <c r="B53" s="42"/>
      <c r="C53" s="42"/>
      <c r="D53" s="13" t="s">
        <v>123</v>
      </c>
      <c r="E53" s="13" t="s">
        <v>31</v>
      </c>
      <c r="F53" s="42"/>
      <c r="G53" s="45"/>
    </row>
    <row r="54" spans="1:7" ht="107.25" customHeight="1" thickBot="1" x14ac:dyDescent="0.3">
      <c r="A54" s="40"/>
      <c r="B54" s="43"/>
      <c r="C54" s="43"/>
      <c r="D54" s="14" t="s">
        <v>26</v>
      </c>
      <c r="E54" s="14" t="s">
        <v>124</v>
      </c>
      <c r="F54" s="43"/>
      <c r="G54" s="46"/>
    </row>
    <row r="55" spans="1:7" ht="73.5" customHeight="1" x14ac:dyDescent="0.25">
      <c r="A55" s="38" t="s">
        <v>121</v>
      </c>
      <c r="B55" s="41" t="s">
        <v>125</v>
      </c>
      <c r="C55" s="41" t="s">
        <v>24</v>
      </c>
      <c r="D55" s="12" t="s">
        <v>29</v>
      </c>
      <c r="E55" s="12" t="s">
        <v>30</v>
      </c>
      <c r="F55" s="41" t="s">
        <v>27</v>
      </c>
      <c r="G55" s="44" t="s">
        <v>79</v>
      </c>
    </row>
    <row r="56" spans="1:7" ht="102" customHeight="1" x14ac:dyDescent="0.25">
      <c r="A56" s="39"/>
      <c r="B56" s="42"/>
      <c r="C56" s="42"/>
      <c r="D56" s="13" t="s">
        <v>126</v>
      </c>
      <c r="E56" s="13" t="s">
        <v>31</v>
      </c>
      <c r="F56" s="42"/>
      <c r="G56" s="45"/>
    </row>
    <row r="57" spans="1:7" ht="156" customHeight="1" thickBot="1" x14ac:dyDescent="0.3">
      <c r="A57" s="40"/>
      <c r="B57" s="43"/>
      <c r="C57" s="43"/>
      <c r="D57" s="14" t="s">
        <v>26</v>
      </c>
      <c r="E57" s="14" t="s">
        <v>127</v>
      </c>
      <c r="F57" s="43"/>
      <c r="G57" s="46"/>
    </row>
  </sheetData>
  <mergeCells count="90">
    <mergeCell ref="A5:A7"/>
    <mergeCell ref="B5:B7"/>
    <mergeCell ref="C5:C7"/>
    <mergeCell ref="F5:F7"/>
    <mergeCell ref="G5:G7"/>
    <mergeCell ref="A2:A4"/>
    <mergeCell ref="B2:B4"/>
    <mergeCell ref="C2:C4"/>
    <mergeCell ref="F2:F4"/>
    <mergeCell ref="G2:G4"/>
    <mergeCell ref="A11:A13"/>
    <mergeCell ref="B11:B13"/>
    <mergeCell ref="C11:C13"/>
    <mergeCell ref="F11:F13"/>
    <mergeCell ref="G11:G13"/>
    <mergeCell ref="A8:A10"/>
    <mergeCell ref="B8:B10"/>
    <mergeCell ref="C8:C10"/>
    <mergeCell ref="F8:F10"/>
    <mergeCell ref="G8:G10"/>
    <mergeCell ref="A17:A19"/>
    <mergeCell ref="B17:B19"/>
    <mergeCell ref="C17:C19"/>
    <mergeCell ref="F17:F19"/>
    <mergeCell ref="G17:G19"/>
    <mergeCell ref="A14:A16"/>
    <mergeCell ref="B14:B16"/>
    <mergeCell ref="C14:C16"/>
    <mergeCell ref="F14:F16"/>
    <mergeCell ref="G14:G16"/>
    <mergeCell ref="A23:A25"/>
    <mergeCell ref="B23:B25"/>
    <mergeCell ref="C23:C25"/>
    <mergeCell ref="F23:F25"/>
    <mergeCell ref="G23:G25"/>
    <mergeCell ref="A20:A22"/>
    <mergeCell ref="B20:B22"/>
    <mergeCell ref="C20:C22"/>
    <mergeCell ref="F20:F22"/>
    <mergeCell ref="G20:G22"/>
    <mergeCell ref="A29:A31"/>
    <mergeCell ref="B29:B31"/>
    <mergeCell ref="C29:C31"/>
    <mergeCell ref="F29:F31"/>
    <mergeCell ref="G29:G31"/>
    <mergeCell ref="A26:A28"/>
    <mergeCell ref="B26:B28"/>
    <mergeCell ref="C26:C28"/>
    <mergeCell ref="F26:F28"/>
    <mergeCell ref="G26:G28"/>
    <mergeCell ref="A35:A37"/>
    <mergeCell ref="B35:B37"/>
    <mergeCell ref="C35:C37"/>
    <mergeCell ref="F35:F37"/>
    <mergeCell ref="G35:G37"/>
    <mergeCell ref="A32:A34"/>
    <mergeCell ref="B32:B34"/>
    <mergeCell ref="C32:C34"/>
    <mergeCell ref="F32:F34"/>
    <mergeCell ref="G32:G34"/>
    <mergeCell ref="A41:A43"/>
    <mergeCell ref="B41:B43"/>
    <mergeCell ref="C41:C43"/>
    <mergeCell ref="F41:F43"/>
    <mergeCell ref="G41:G43"/>
    <mergeCell ref="A38:A40"/>
    <mergeCell ref="B38:B40"/>
    <mergeCell ref="C38:C40"/>
    <mergeCell ref="F38:F40"/>
    <mergeCell ref="G38:G40"/>
    <mergeCell ref="A44:A48"/>
    <mergeCell ref="B44:B48"/>
    <mergeCell ref="C44:C48"/>
    <mergeCell ref="F44:F48"/>
    <mergeCell ref="G44:G48"/>
    <mergeCell ref="A49:A51"/>
    <mergeCell ref="B49:B51"/>
    <mergeCell ref="C49:C51"/>
    <mergeCell ref="F49:F51"/>
    <mergeCell ref="G49:G51"/>
    <mergeCell ref="A52:A54"/>
    <mergeCell ref="B52:B54"/>
    <mergeCell ref="C52:C54"/>
    <mergeCell ref="F52:F54"/>
    <mergeCell ref="G52:G54"/>
    <mergeCell ref="A55:A57"/>
    <mergeCell ref="B55:B57"/>
    <mergeCell ref="C55:C57"/>
    <mergeCell ref="F55:F57"/>
    <mergeCell ref="G55:G5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9"/>
  <sheetViews>
    <sheetView zoomScaleNormal="100" workbookViewId="0">
      <selection activeCell="G18" sqref="G18"/>
    </sheetView>
  </sheetViews>
  <sheetFormatPr defaultRowHeight="15" x14ac:dyDescent="0.25"/>
  <cols>
    <col min="1" max="8" width="20.7109375" customWidth="1"/>
  </cols>
  <sheetData>
    <row r="1" spans="1:8" ht="30" x14ac:dyDescent="0.25">
      <c r="A1" s="1" t="s">
        <v>7</v>
      </c>
      <c r="B1" s="1" t="s">
        <v>8</v>
      </c>
      <c r="C1" s="1" t="s">
        <v>9</v>
      </c>
      <c r="D1" s="2" t="s">
        <v>10</v>
      </c>
      <c r="E1" s="2" t="s">
        <v>0</v>
      </c>
      <c r="F1" s="2" t="s">
        <v>11</v>
      </c>
      <c r="G1" s="2" t="s">
        <v>12</v>
      </c>
      <c r="H1" s="1" t="s">
        <v>13</v>
      </c>
    </row>
    <row r="2" spans="1:8" ht="138.75" customHeight="1" x14ac:dyDescent="0.25">
      <c r="A2" s="56" t="s">
        <v>14</v>
      </c>
      <c r="B2" s="54">
        <v>46300</v>
      </c>
      <c r="C2" s="52" t="s">
        <v>28</v>
      </c>
      <c r="D2" s="50" t="s">
        <v>15</v>
      </c>
      <c r="E2" s="3" t="str">
        <f>HYPERLINK("#'Test Cases'!A2", "TC-001")</f>
        <v>TC-001</v>
      </c>
      <c r="F2" s="4" t="s">
        <v>16</v>
      </c>
      <c r="G2" s="5"/>
      <c r="H2" s="3"/>
    </row>
    <row r="3" spans="1:8" ht="179.25" customHeight="1" x14ac:dyDescent="0.25">
      <c r="A3" s="57"/>
      <c r="B3" s="55"/>
      <c r="C3" s="53"/>
      <c r="D3" s="51"/>
      <c r="E3" s="3" t="str">
        <f>HYPERLINK("#'Test Cases'!A5", "TC-002")</f>
        <v>TC-002</v>
      </c>
      <c r="F3" s="7" t="s">
        <v>69</v>
      </c>
      <c r="G3" s="5" t="s">
        <v>112</v>
      </c>
      <c r="H3" s="3" t="str">
        <f>HYPERLINK("#'Bug Reports'!A2", "BR-001")</f>
        <v>BR-001</v>
      </c>
    </row>
    <row r="4" spans="1:8" ht="15" customHeight="1" x14ac:dyDescent="0.25">
      <c r="A4" s="57"/>
      <c r="B4" s="55"/>
      <c r="C4" s="53"/>
      <c r="D4" s="51"/>
      <c r="E4" s="3" t="str">
        <f>HYPERLINK("#'Test Cases'!A8", "TC-003")</f>
        <v>TC-003</v>
      </c>
      <c r="F4" s="4" t="s">
        <v>16</v>
      </c>
      <c r="G4" s="5"/>
      <c r="H4" s="3"/>
    </row>
    <row r="5" spans="1:8" ht="15" customHeight="1" thickBot="1" x14ac:dyDescent="0.3">
      <c r="A5" s="57"/>
      <c r="B5" s="55"/>
      <c r="C5" s="53"/>
      <c r="D5" s="51"/>
      <c r="E5" s="3" t="str">
        <f>HYPERLINK("#'Test Cases'!A11", "TC-004")</f>
        <v>TC-004</v>
      </c>
      <c r="F5" s="4" t="s">
        <v>16</v>
      </c>
      <c r="G5" s="5"/>
      <c r="H5" s="3"/>
    </row>
    <row r="6" spans="1:8" ht="168.75" customHeight="1" thickBot="1" x14ac:dyDescent="0.3">
      <c r="A6" s="57"/>
      <c r="B6" s="55"/>
      <c r="C6" s="53"/>
      <c r="D6" s="51"/>
      <c r="E6" s="3" t="str">
        <f>HYPERLINK("#'Test Cases'!A14", "TC-005")</f>
        <v>TC-005</v>
      </c>
      <c r="F6" s="7" t="s">
        <v>69</v>
      </c>
      <c r="G6" s="8" t="s">
        <v>114</v>
      </c>
      <c r="H6" s="3" t="str">
        <f>HYPERLINK("#'Bug Reports'!A3", "BR-002")</f>
        <v>BR-002</v>
      </c>
    </row>
    <row r="7" spans="1:8" ht="21.75" customHeight="1" x14ac:dyDescent="0.25">
      <c r="A7" s="57"/>
      <c r="B7" s="55"/>
      <c r="C7" s="53"/>
      <c r="D7" s="51"/>
      <c r="E7" s="3" t="str">
        <f>HYPERLINK("#'Test Cases'!A17", "TC-006")</f>
        <v>TC-006</v>
      </c>
      <c r="F7" s="4" t="s">
        <v>16</v>
      </c>
      <c r="G7" s="5"/>
      <c r="H7" s="37"/>
    </row>
    <row r="8" spans="1:8" ht="17.25" customHeight="1" x14ac:dyDescent="0.25">
      <c r="A8" s="57"/>
      <c r="B8" s="55"/>
      <c r="C8" s="53"/>
      <c r="D8" s="51"/>
      <c r="E8" s="9" t="str">
        <f>HYPERLINK("#'Test Cases'!A20", "TC-007")</f>
        <v>TC-007</v>
      </c>
      <c r="F8" s="4" t="s">
        <v>16</v>
      </c>
      <c r="G8" s="5"/>
      <c r="H8" s="3"/>
    </row>
    <row r="9" spans="1:8" ht="15" customHeight="1" x14ac:dyDescent="0.25">
      <c r="A9" s="57"/>
      <c r="B9" s="55"/>
      <c r="C9" s="53"/>
      <c r="D9" s="51"/>
      <c r="E9" s="3" t="str">
        <f>HYPERLINK("#'Test Cases'!A23", "TC-008")</f>
        <v>TC-008</v>
      </c>
      <c r="F9" s="4" t="s">
        <v>16</v>
      </c>
      <c r="G9" s="6"/>
      <c r="H9" s="6"/>
    </row>
    <row r="10" spans="1:8" ht="18.75" customHeight="1" x14ac:dyDescent="0.25">
      <c r="A10" s="57"/>
      <c r="B10" s="55"/>
      <c r="C10" s="53"/>
      <c r="D10" s="51"/>
      <c r="E10" s="3" t="str">
        <f>HYPERLINK("#'Test Cases'!A26", "TC-009")</f>
        <v>TC-009</v>
      </c>
      <c r="F10" s="4" t="s">
        <v>16</v>
      </c>
      <c r="G10" s="5"/>
      <c r="H10" s="3"/>
    </row>
    <row r="11" spans="1:8" ht="20.25" customHeight="1" thickBot="1" x14ac:dyDescent="0.3">
      <c r="A11" s="57"/>
      <c r="B11" s="55"/>
      <c r="C11" s="53"/>
      <c r="D11" s="51"/>
      <c r="E11" s="36" t="str">
        <f>HYPERLINK("#'Test Cases'!A29", "TC-010")</f>
        <v>TC-010</v>
      </c>
      <c r="F11" s="4" t="s">
        <v>16</v>
      </c>
      <c r="G11" s="20"/>
      <c r="H11" s="36"/>
    </row>
    <row r="12" spans="1:8" ht="16.5" x14ac:dyDescent="0.25">
      <c r="A12" s="57"/>
      <c r="B12" s="55"/>
      <c r="C12" s="53"/>
      <c r="D12" s="51"/>
      <c r="E12" s="3" t="str">
        <f>HYPERLINK("#'Test Cases'!A32", "TC-011")</f>
        <v>TC-011</v>
      </c>
      <c r="F12" s="4" t="s">
        <v>16</v>
      </c>
      <c r="G12" s="19"/>
      <c r="H12" s="3"/>
    </row>
    <row r="13" spans="1:8" ht="15" customHeight="1" x14ac:dyDescent="0.25">
      <c r="A13" s="57"/>
      <c r="B13" s="55"/>
      <c r="C13" s="53"/>
      <c r="D13" s="51"/>
      <c r="E13" s="3" t="str">
        <f>HYPERLINK("#'Test Cases'!A35", "TC-012")</f>
        <v>TC-012</v>
      </c>
      <c r="F13" s="4" t="s">
        <v>16</v>
      </c>
      <c r="G13" s="5"/>
      <c r="H13" s="3"/>
    </row>
    <row r="14" spans="1:8" ht="15" customHeight="1" x14ac:dyDescent="0.25">
      <c r="A14" s="57"/>
      <c r="B14" s="55"/>
      <c r="C14" s="53"/>
      <c r="D14" s="51"/>
      <c r="E14" s="3" t="str">
        <f>HYPERLINK("#'Test Cases'!A38", "TC-013")</f>
        <v>TC-013</v>
      </c>
      <c r="F14" s="4" t="s">
        <v>16</v>
      </c>
      <c r="G14" s="5"/>
      <c r="H14" s="6"/>
    </row>
    <row r="15" spans="1:8" ht="22.5" customHeight="1" x14ac:dyDescent="0.25">
      <c r="A15" s="57"/>
      <c r="B15" s="55"/>
      <c r="C15" s="53"/>
      <c r="D15" s="51"/>
      <c r="E15" s="3" t="str">
        <f>HYPERLINK("#'Test Cases'!A41", "TC-014")</f>
        <v>TC-014</v>
      </c>
      <c r="F15" s="4" t="s">
        <v>16</v>
      </c>
      <c r="G15" s="5"/>
      <c r="H15" s="3"/>
    </row>
    <row r="16" spans="1:8" ht="15" customHeight="1" x14ac:dyDescent="0.25">
      <c r="A16" s="57"/>
      <c r="B16" s="55"/>
      <c r="C16" s="53"/>
      <c r="D16" s="51"/>
      <c r="E16" s="3" t="str">
        <f>HYPERLINK("#'Test Cases'!A44", "TC-015")</f>
        <v>TC-015</v>
      </c>
      <c r="F16" s="4" t="s">
        <v>16</v>
      </c>
      <c r="G16" s="6"/>
      <c r="H16" s="6"/>
    </row>
    <row r="17" spans="1:8" ht="15" customHeight="1" thickBot="1" x14ac:dyDescent="0.3">
      <c r="A17" s="57"/>
      <c r="B17" s="55"/>
      <c r="C17" s="53"/>
      <c r="D17" s="51"/>
      <c r="E17" s="3" t="str">
        <f>HYPERLINK("#'Test Cases'!A49", "TC-016")</f>
        <v>TC-016</v>
      </c>
      <c r="F17" s="4" t="s">
        <v>16</v>
      </c>
      <c r="G17" s="6"/>
      <c r="H17" s="6"/>
    </row>
    <row r="18" spans="1:8" ht="213.75" customHeight="1" thickBot="1" x14ac:dyDescent="0.3">
      <c r="A18" s="57"/>
      <c r="B18" s="55"/>
      <c r="C18" s="53"/>
      <c r="D18" s="51"/>
      <c r="E18" s="3" t="str">
        <f>HYPERLINK("#'Test Cases'!A52", "TC-017")</f>
        <v>TC-017</v>
      </c>
      <c r="F18" s="7" t="s">
        <v>69</v>
      </c>
      <c r="G18" s="8" t="s">
        <v>129</v>
      </c>
      <c r="H18" s="3" t="str">
        <f>HYPERLINK("#'Bug Reports'!A4", "BR-003")</f>
        <v>BR-003</v>
      </c>
    </row>
    <row r="19" spans="1:8" x14ac:dyDescent="0.25">
      <c r="A19" s="57"/>
      <c r="B19" s="55"/>
      <c r="C19" s="53"/>
      <c r="D19" s="51"/>
      <c r="E19" s="3" t="str">
        <f>HYPERLINK("#'Test Cases'!A55", "TC-018")</f>
        <v>TC-018</v>
      </c>
      <c r="F19" s="4" t="s">
        <v>16</v>
      </c>
      <c r="G19" s="6"/>
      <c r="H19" s="6"/>
    </row>
  </sheetData>
  <mergeCells count="4">
    <mergeCell ref="D2:D19"/>
    <mergeCell ref="C2:C19"/>
    <mergeCell ref="B2:B19"/>
    <mergeCell ref="A2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10"/>
  <sheetViews>
    <sheetView tabSelected="1" zoomScale="85" zoomScaleNormal="85" workbookViewId="0">
      <selection activeCell="Q4" sqref="Q4"/>
    </sheetView>
  </sheetViews>
  <sheetFormatPr defaultRowHeight="15" x14ac:dyDescent="0.25"/>
  <cols>
    <col min="1" max="13" width="20.7109375" customWidth="1"/>
  </cols>
  <sheetData>
    <row r="1" spans="1:13" ht="45" x14ac:dyDescent="0.25">
      <c r="A1" s="1" t="s">
        <v>13</v>
      </c>
      <c r="B1" s="1" t="s">
        <v>1</v>
      </c>
      <c r="C1" s="1" t="s">
        <v>17</v>
      </c>
      <c r="D1" s="2" t="s">
        <v>7</v>
      </c>
      <c r="E1" s="2" t="s">
        <v>2</v>
      </c>
      <c r="F1" s="2" t="s">
        <v>18</v>
      </c>
      <c r="G1" s="2" t="s">
        <v>4</v>
      </c>
      <c r="H1" s="1" t="s">
        <v>19</v>
      </c>
      <c r="I1" s="1" t="s">
        <v>20</v>
      </c>
      <c r="J1" s="1" t="s">
        <v>6</v>
      </c>
      <c r="K1" s="1" t="s">
        <v>21</v>
      </c>
      <c r="L1" s="2" t="s">
        <v>22</v>
      </c>
      <c r="M1" s="2" t="s">
        <v>23</v>
      </c>
    </row>
    <row r="2" spans="1:13" ht="165.75" thickBot="1" x14ac:dyDescent="0.3">
      <c r="A2" s="29" t="s">
        <v>66</v>
      </c>
      <c r="B2" s="30" t="s">
        <v>118</v>
      </c>
      <c r="C2" s="3" t="str">
        <f>HYPERLINK("#'Test Cases'!A5", "TC-002")</f>
        <v>TC-002</v>
      </c>
      <c r="D2" s="31" t="str">
        <f t="shared" ref="D2:D4" si="0">HYPERLINK("#'Test Run'!A2", "TR-001")</f>
        <v>TR-001</v>
      </c>
      <c r="E2" s="32" t="s">
        <v>24</v>
      </c>
      <c r="F2" s="33" t="s">
        <v>26</v>
      </c>
      <c r="G2" s="15" t="s">
        <v>83</v>
      </c>
      <c r="H2" s="5" t="s">
        <v>112</v>
      </c>
      <c r="I2" s="34" t="s">
        <v>67</v>
      </c>
      <c r="J2" s="34" t="s">
        <v>79</v>
      </c>
      <c r="K2" s="30" t="s">
        <v>68</v>
      </c>
      <c r="L2" s="30" t="s">
        <v>113</v>
      </c>
      <c r="M2" s="35">
        <v>46300</v>
      </c>
    </row>
    <row r="3" spans="1:13" ht="195" customHeight="1" thickBot="1" x14ac:dyDescent="0.3">
      <c r="A3" s="23" t="s">
        <v>80</v>
      </c>
      <c r="B3" s="22" t="s">
        <v>119</v>
      </c>
      <c r="C3" s="3" t="str">
        <f>HYPERLINK("#'Test Cases'!A14", "TC-005")</f>
        <v>TC-005</v>
      </c>
      <c r="D3" s="24" t="str">
        <f t="shared" si="0"/>
        <v>TR-001</v>
      </c>
      <c r="E3" s="25" t="s">
        <v>24</v>
      </c>
      <c r="F3" s="26" t="s">
        <v>26</v>
      </c>
      <c r="G3" s="15" t="s">
        <v>100</v>
      </c>
      <c r="H3" s="8" t="s">
        <v>114</v>
      </c>
      <c r="I3" s="27" t="s">
        <v>67</v>
      </c>
      <c r="J3" s="34" t="s">
        <v>79</v>
      </c>
      <c r="K3" s="20" t="s">
        <v>68</v>
      </c>
      <c r="L3" s="20" t="s">
        <v>115</v>
      </c>
      <c r="M3" s="28">
        <v>46300</v>
      </c>
    </row>
    <row r="4" spans="1:13" ht="218.25" customHeight="1" thickBot="1" x14ac:dyDescent="0.3">
      <c r="A4" s="23" t="s">
        <v>128</v>
      </c>
      <c r="B4" s="22" t="s">
        <v>130</v>
      </c>
      <c r="C4" s="3" t="str">
        <f>HYPERLINK("#'Test Cases'!A52", "TC-017")</f>
        <v>TC-017</v>
      </c>
      <c r="D4" s="24" t="str">
        <f t="shared" si="0"/>
        <v>TR-001</v>
      </c>
      <c r="E4" s="25" t="s">
        <v>24</v>
      </c>
      <c r="F4" s="26" t="s">
        <v>26</v>
      </c>
      <c r="G4" s="14" t="s">
        <v>124</v>
      </c>
      <c r="H4" s="8" t="s">
        <v>129</v>
      </c>
      <c r="I4" s="27" t="s">
        <v>67</v>
      </c>
      <c r="J4" s="34" t="s">
        <v>79</v>
      </c>
      <c r="K4" s="20" t="s">
        <v>68</v>
      </c>
      <c r="L4" s="20" t="s">
        <v>131</v>
      </c>
      <c r="M4" s="28">
        <v>46300</v>
      </c>
    </row>
    <row r="5" spans="1:13" ht="15.75" x14ac:dyDescent="0.25">
      <c r="B5" s="21"/>
    </row>
    <row r="6" spans="1:13" ht="139.5" customHeight="1" x14ac:dyDescent="0.25"/>
    <row r="7" spans="1:13" ht="15" customHeight="1" x14ac:dyDescent="0.25"/>
    <row r="8" spans="1:13" ht="10.5" customHeight="1" x14ac:dyDescent="0.25"/>
    <row r="9" spans="1:13" ht="105.75" customHeight="1" x14ac:dyDescent="0.25"/>
    <row r="10" spans="1:13" ht="121.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2026-10-05T08:40:45Z</dcterms:modified>
</cp:coreProperties>
</file>