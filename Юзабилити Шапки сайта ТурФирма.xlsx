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https://d.docs.live.net/1bea10542c94829a/Desktop/Работа/"/>
    </mc:Choice>
  </mc:AlternateContent>
  <xr:revisionPtr revIDLastSave="30" documentId="11_F25DC773A252ABDACC10481E791F7A445ADE58EB" xr6:coauthVersionLast="47" xr6:coauthVersionMax="47" xr10:uidLastSave="{F11F5DF7-6F30-4AF6-A8E6-F630D64FFDC4}"/>
  <bookViews>
    <workbookView xWindow="-120" yWindow="-120" windowWidth="29040" windowHeight="15840" xr2:uid="{00000000-000D-0000-FFFF-FFFF00000000}"/>
  </bookViews>
  <sheets>
    <sheet name="Test Cases" sheetId="1" r:id="rId1"/>
    <sheet name="Test run" sheetId="2" r:id="rId2"/>
    <sheet name="Bug Reports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E46" i="2" l="1"/>
  <c r="E47" i="2"/>
  <c r="E45" i="2"/>
  <c r="E44" i="2"/>
  <c r="E43" i="2"/>
  <c r="E42" i="2"/>
  <c r="C3" i="3"/>
  <c r="E41" i="2"/>
  <c r="E40" i="2"/>
  <c r="E39" i="2"/>
  <c r="E38" i="2"/>
  <c r="E37" i="2"/>
  <c r="E36" i="2"/>
  <c r="E35" i="2"/>
  <c r="E34" i="2"/>
  <c r="E33" i="2"/>
  <c r="E28" i="2"/>
  <c r="E27" i="2"/>
  <c r="E32" i="2"/>
  <c r="E31" i="2"/>
  <c r="E30" i="2"/>
  <c r="E29" i="2"/>
  <c r="E26" i="2"/>
  <c r="E25" i="2"/>
  <c r="E24" i="2"/>
  <c r="E23" i="2"/>
  <c r="E22" i="2"/>
  <c r="E21" i="2"/>
  <c r="E20" i="2"/>
  <c r="E19" i="2"/>
  <c r="E18" i="2"/>
  <c r="E17" i="2"/>
  <c r="D3" i="3"/>
  <c r="H42" i="2"/>
  <c r="H16" i="2"/>
  <c r="D2" i="3"/>
  <c r="C2" i="3"/>
  <c r="E16" i="2"/>
  <c r="E15" i="2"/>
  <c r="E14" i="2"/>
  <c r="E13" i="2"/>
  <c r="E12" i="2"/>
  <c r="E11" i="2"/>
  <c r="E10" i="2"/>
  <c r="E9" i="2"/>
  <c r="E8" i="2"/>
  <c r="E7" i="2"/>
  <c r="E6" i="2"/>
  <c r="E5" i="2"/>
  <c r="E4" i="2"/>
  <c r="E3" i="2"/>
  <c r="E2" i="2"/>
</calcChain>
</file>

<file path=xl/sharedStrings.xml><?xml version="1.0" encoding="utf-8"?>
<sst xmlns="http://schemas.openxmlformats.org/spreadsheetml/2006/main" count="515" uniqueCount="267">
  <si>
    <t>Case ID
(Номер кейса)</t>
  </si>
  <si>
    <t>Title
(Название кейса)</t>
  </si>
  <si>
    <t>Preconditions
(Предусловия)</t>
  </si>
  <si>
    <t>Steps (Шаги)</t>
  </si>
  <si>
    <t>Expected Result
(Ожидаемый результат)</t>
  </si>
  <si>
    <t>Postconditions
(Постусловия)</t>
  </si>
  <si>
    <t>Priority
(Приоритет)</t>
  </si>
  <si>
    <t>TC-010</t>
  </si>
  <si>
    <t>Открыта любая внутренняя страница сайта</t>
  </si>
  <si>
    <t>Курсор изменяется, показывая что элемент активный</t>
  </si>
  <si>
    <t>High</t>
  </si>
  <si>
    <t>2) Кликнуть по данному пункту меню</t>
  </si>
  <si>
    <t>TC-001</t>
  </si>
  <si>
    <t>TC-011</t>
  </si>
  <si>
    <t>Логотип: кликабелен, ведет на главную страницу</t>
  </si>
  <si>
    <t>1) Навести курсор на логотип</t>
  </si>
  <si>
    <t>Пользователь возвращается на главную страницу</t>
  </si>
  <si>
    <t>Low</t>
  </si>
  <si>
    <t>2) Нажать на логотип</t>
  </si>
  <si>
    <t>Происходит переход на главную страницу сайта</t>
  </si>
  <si>
    <t>3) Проверить работоспособность ссылки после перехода</t>
  </si>
  <si>
    <t>Главная страница загружается без ошибок, логотип и навигация доступны, сайт не зависает и не выдает ошибок</t>
  </si>
  <si>
    <t>TC-002</t>
  </si>
  <si>
    <t>TC-003</t>
  </si>
  <si>
    <t>TC-004</t>
  </si>
  <si>
    <t>TC-005</t>
  </si>
  <si>
    <t>TC-006</t>
  </si>
  <si>
    <t>TC-007</t>
  </si>
  <si>
    <t>TC-008</t>
  </si>
  <si>
    <t>TC-009</t>
  </si>
  <si>
    <t>TC-012</t>
  </si>
  <si>
    <t>TC-013</t>
  </si>
  <si>
    <t>Session ID
(Номер сессии)</t>
  </si>
  <si>
    <t>Date
(Время)</t>
  </si>
  <si>
    <t>Session Name
(Имя сессии)</t>
  </si>
  <si>
    <t>Tester
(Тестировщик)</t>
  </si>
  <si>
    <t>Result
(Результат)</t>
  </si>
  <si>
    <t>Comment
(Комментарий)</t>
  </si>
  <si>
    <t>Bug ID
(Номер бага)</t>
  </si>
  <si>
    <t>TR-001</t>
  </si>
  <si>
    <t>Проскуренко И.К</t>
  </si>
  <si>
    <t>Pass</t>
  </si>
  <si>
    <t>TC-014</t>
  </si>
  <si>
    <t>Юзабилити: шапка сайта</t>
  </si>
  <si>
    <t>Related Case ID
(Связанный кейс)</t>
  </si>
  <si>
    <t>Error Step
(Шаг с ошибкой)</t>
  </si>
  <si>
    <t>Actual Result
(Актуальный результат)</t>
  </si>
  <si>
    <t>Severity
(Серъезность)</t>
  </si>
  <si>
    <t>Environment
(Окружение)</t>
  </si>
  <si>
    <t>Attachments/Links
(Скриншоты/Ссылки)</t>
  </si>
  <si>
    <t>Date Reported
(Дата обнаружения)</t>
  </si>
  <si>
    <t>Меню: ссылка «Витрина туров» ведет на страницу с Витрину туров</t>
  </si>
  <si>
    <r>
      <t>1) Навести курсор на пункт меню «</t>
    </r>
    <r>
      <rPr>
        <sz val="12"/>
        <color theme="1"/>
        <rFont val="Times New Roman"/>
        <family val="1"/>
        <charset val="204"/>
      </rPr>
      <t>Витрина туров</t>
    </r>
    <r>
      <rPr>
        <sz val="12"/>
        <color theme="1"/>
        <rFont val="Liberation Serif"/>
        <family val="1"/>
        <charset val="204"/>
      </rPr>
      <t>»</t>
    </r>
  </si>
  <si>
    <r>
      <t xml:space="preserve">Открывается страница с </t>
    </r>
    <r>
      <rPr>
        <sz val="12"/>
        <color theme="1"/>
        <rFont val="Times New Roman"/>
        <family val="1"/>
        <charset val="204"/>
      </rPr>
      <t>Витриной туров</t>
    </r>
  </si>
  <si>
    <t>Пользователь находится на странице Витрина туров</t>
  </si>
  <si>
    <t>Меню: ссылка «Школьникам» ведет на страницу Школьникам</t>
  </si>
  <si>
    <r>
      <t>1) Навести курсор на пункт меню «</t>
    </r>
    <r>
      <rPr>
        <sz val="12"/>
        <color theme="1"/>
        <rFont val="Times New Roman"/>
        <family val="1"/>
        <charset val="204"/>
      </rPr>
      <t>Школьникам</t>
    </r>
    <r>
      <rPr>
        <sz val="12"/>
        <color theme="1"/>
        <rFont val="Liberation Serif"/>
        <family val="1"/>
        <charset val="204"/>
      </rPr>
      <t>»</t>
    </r>
  </si>
  <si>
    <t>Открывается страница Школьникам</t>
  </si>
  <si>
    <t>Пользователь находится на странице Школьникам</t>
  </si>
  <si>
    <r>
      <t>1) Навести курсор на пункт меню «</t>
    </r>
    <r>
      <rPr>
        <sz val="12"/>
        <color theme="1"/>
        <rFont val="Times New Roman"/>
        <family val="1"/>
        <charset val="204"/>
      </rPr>
      <t>Группам</t>
    </r>
    <r>
      <rPr>
        <sz val="12"/>
        <color theme="1"/>
        <rFont val="Liberation Serif"/>
        <family val="1"/>
        <charset val="204"/>
      </rPr>
      <t>»</t>
    </r>
  </si>
  <si>
    <t>2) Кликнуть по Экскурсии и туры для школьных групп</t>
  </si>
  <si>
    <t>Открывается страница Экскурсии и туры для школьных групп</t>
  </si>
  <si>
    <t>Пользователь находится на странице Экскурсии и туры для школьных групп</t>
  </si>
  <si>
    <t>Меню: ссылка «Школьникам-&gt; Экскурсии и туры для школьных групп» ведет на страницу Экскурсии и туры для школьных групп</t>
  </si>
  <si>
    <t>Меню: ссылка «Школьникам-&gt; Детские лагеря» ведет на страницу Детские лагеря</t>
  </si>
  <si>
    <t>2) Кликнуть по Детские лагеря</t>
  </si>
  <si>
    <t>Открывается страница Детские лагеря</t>
  </si>
  <si>
    <t>Пользователь находится на странице Детские лагеря</t>
  </si>
  <si>
    <t>Меню: ссылка «Школьникам-&gt; Варианты школьных туров» ведет на страницу Варианты школьных туров</t>
  </si>
  <si>
    <t>2) Кликнуть по Варианты школьных туров</t>
  </si>
  <si>
    <t>Открывается страница Варианты школьных туров</t>
  </si>
  <si>
    <t>Пользователь находится на странице Варианты школьных туров</t>
  </si>
  <si>
    <t>Открывается страница Прием организованных групп в Краснодаре</t>
  </si>
  <si>
    <t>Пользователь находится на странице Прием организованных групп в Краснодаре</t>
  </si>
  <si>
    <t>Меню: ссылка «Группам» ведет на страницу Прием организованных групп в Краснодаре</t>
  </si>
  <si>
    <t>Меню: ссылка «Группам-&gt; Информация по групповым турам» ведет на страницу Информация по групповым турам</t>
  </si>
  <si>
    <t>2) Кликнуть по Информация по групповым турам</t>
  </si>
  <si>
    <t>Открывается страница Информация по групповым турам</t>
  </si>
  <si>
    <t>Пользователь находится на странице Информация по групповым турам</t>
  </si>
  <si>
    <t>Меню: ссылка «Группам-&gt; Знакомство с Краснодарским краем для групп» ведет на страницу Знакомство с Краснодарским краем для групп</t>
  </si>
  <si>
    <t>2) Кликнуть по Знакомство с Краснодарским краем для групп</t>
  </si>
  <si>
    <t>Открывается страница Знакомство с Краснодарским краем для групп</t>
  </si>
  <si>
    <t>Пользователь находится на странице Знакомство с Краснодарским краем для групп</t>
  </si>
  <si>
    <t>Меню: ссылка «Группам-&gt; Варианты программ по приему групп в Краснодаре» ведет на страницу Варианты программ по приему групп в Краснодаре</t>
  </si>
  <si>
    <t>2) Кликнуть по Варианты программ по приему групп в Краснодаре</t>
  </si>
  <si>
    <t>Открывается страница Варианты программ по приему групп в Краснодаре</t>
  </si>
  <si>
    <t>Пользователь находится на странице Варианты программ по приему групп в Краснодаре</t>
  </si>
  <si>
    <t>Меню: ссылка «Витрина туров-&gt; Online ТАБЛО» ведет на страницу Online ТАБЛО</t>
  </si>
  <si>
    <t>2) Кликнуть по Online ТАБЛО</t>
  </si>
  <si>
    <t>Открывается страница Online ТАБЛО</t>
  </si>
  <si>
    <t>Пользователь находится на странице Online ТАБЛО</t>
  </si>
  <si>
    <t>Меню: ссылка «Витрина туров-&gt;Календарь наших туров/наличиние мест» ведет на страницу Календарь наших туров/наличиние мест</t>
  </si>
  <si>
    <t>2) Кликнуть по Календарь наших туров/наличиние мест</t>
  </si>
  <si>
    <t>Открывается страница Календарь наших туров/наличиние мест</t>
  </si>
  <si>
    <t>Пользователь находится на странице Календарь наших туров/наличиние мест</t>
  </si>
  <si>
    <t>Меню: ссылка «Витрина туров-&gt; Однодневные экскурсии из Краснодара» ведет на страницу Однодневные экскурсии из Краснодара</t>
  </si>
  <si>
    <t>2) Кликнуть по Однодневные экскурсии из Краснодара</t>
  </si>
  <si>
    <t>Открывается страница Однодневные экскурсии из Краснодара</t>
  </si>
  <si>
    <t>TC-015</t>
  </si>
  <si>
    <t xml:space="preserve">2) Кликнуть по Многодневные туры </t>
  </si>
  <si>
    <t>Меню: ссылка «Витрина туров-&gt; Многодневные туры » ведет на страницу Автобусные туры выходного дня из Краснодара</t>
  </si>
  <si>
    <t>Пользователь находится на странице Однодневные экскурсии из Краснодара</t>
  </si>
  <si>
    <t>Пользователь находится на странице Автобусные туры выходного дня из Краснодара</t>
  </si>
  <si>
    <t>Открывается страница Автобусные туры выходного дня из Краснодара</t>
  </si>
  <si>
    <t>Меню: ссылка «Витрина туров-&gt; Золотое кольцо Боспорского царства» ведет на страницу Золотое кольцо Боспорского царства</t>
  </si>
  <si>
    <t>2) Кликнуть по Золотое кольцо Боспорского царства</t>
  </si>
  <si>
    <t>Открывается страница Золотое кольцо Боспорского царства</t>
  </si>
  <si>
    <t>Пользователь находится на странице Золотое кольцо Боспорского царства</t>
  </si>
  <si>
    <t>False</t>
  </si>
  <si>
    <t>К сожалению, страница, которую Вы запросили, не была найдена (ошибка 404).</t>
  </si>
  <si>
    <t>BR-001</t>
  </si>
  <si>
    <t>Major</t>
  </si>
  <si>
    <t>Windows 10/ Yandex Версия
26.8.2.1064 (64-bit)</t>
  </si>
  <si>
    <t>Юзабилити шапки: ссылка в пункте «Витрина туров-&gt; Золотое кольцо Боспорского царства» не соответствует заявленному</t>
  </si>
  <si>
    <t>При переходе к пункту меню «Золотое кольцо Боспорского царства» не отображается страница</t>
  </si>
  <si>
    <t>https://prnt.sc/8qyCnDxdgpDe</t>
  </si>
  <si>
    <t>TC-016</t>
  </si>
  <si>
    <t>2) Кликнуть по Туры для школьников</t>
  </si>
  <si>
    <t>Меню: ссылка «Витрина туров-&gt; Туры для школьников» ведет на страницу Экскурсии и туры для школьных групп</t>
  </si>
  <si>
    <t>TC-017</t>
  </si>
  <si>
    <t>Меню: ссылка «Витрина туров-&gt; Туры по России» ведет на страницу Туры по России</t>
  </si>
  <si>
    <t>Открывается страница Туры по России</t>
  </si>
  <si>
    <t>Пользователь находится на странице Туры по России</t>
  </si>
  <si>
    <t>TC-018</t>
  </si>
  <si>
    <t>Меню: ссылка «Витрина туров-&gt; Туры за рубеж» ведет на страницу Туры за рубеж</t>
  </si>
  <si>
    <t>2) Кликнуть по Туры по России</t>
  </si>
  <si>
    <t>2) Кликнуть по Туры за рубеж</t>
  </si>
  <si>
    <t>Открывается страница Туры за рубеж</t>
  </si>
  <si>
    <t>Пользователь находится на странице Туры за рубеж</t>
  </si>
  <si>
    <t>TC-019</t>
  </si>
  <si>
    <t>Меню: ссылка «Витрина туров-&gt; Круизы» ведет на страницу Круизы</t>
  </si>
  <si>
    <t>2) Кликнуть по Круизы</t>
  </si>
  <si>
    <t>Открывается страница Круизы</t>
  </si>
  <si>
    <t>Пользователь находится на странице Круизы</t>
  </si>
  <si>
    <t>TC-020</t>
  </si>
  <si>
    <t>Меню: ссылка «Туристам» ведет на страницу Туристам</t>
  </si>
  <si>
    <t>Открывается страница Туристам</t>
  </si>
  <si>
    <t>Пользователь находится на странице Туристам</t>
  </si>
  <si>
    <r>
      <t>1) Навести курсор на пункт меню «</t>
    </r>
    <r>
      <rPr>
        <sz val="12"/>
        <color theme="1"/>
        <rFont val="Times New Roman"/>
        <family val="1"/>
        <charset val="204"/>
      </rPr>
      <t>Туристам</t>
    </r>
    <r>
      <rPr>
        <sz val="12"/>
        <color theme="1"/>
        <rFont val="Liberation Serif"/>
        <family val="1"/>
        <charset val="204"/>
      </rPr>
      <t>»</t>
    </r>
  </si>
  <si>
    <t>TC-021</t>
  </si>
  <si>
    <t>Меню: ссылка «Туристам -&gt; Информация для туристов» ведет на страницу Туристам</t>
  </si>
  <si>
    <t>2) Кликнуть по Информация для туристов</t>
  </si>
  <si>
    <t>TC-022</t>
  </si>
  <si>
    <t>2) Кликнуть по Как забронировать тур on-line</t>
  </si>
  <si>
    <t>Открывается страница Как забронировать тур on-line туристу</t>
  </si>
  <si>
    <t>Пользователь находится на странице Как забронировать тур on-line туристу</t>
  </si>
  <si>
    <t>TC-023</t>
  </si>
  <si>
    <t>Меню: ссылка «Туристам -&gt; Как забронировать тур on-line» ведет на страницу Как забронировать тур on-line туристу</t>
  </si>
  <si>
    <t>Меню: ссылка «Туристам -&gt; Где можно купить наши туры» ведет на страницу Где можно купить наши туры</t>
  </si>
  <si>
    <t>2) Кликнуть по Где можно купить наши туры</t>
  </si>
  <si>
    <t>Открывается страница Где можно купить наши туры</t>
  </si>
  <si>
    <t>Пользователь находится на странице Где можно купить наши туры</t>
  </si>
  <si>
    <t>TC-024</t>
  </si>
  <si>
    <t>Меню: ссылка «Туристам -&gt; Способы оплаты и получения документов» ведет на страницу Способы оплаты и получения документов</t>
  </si>
  <si>
    <t>2) Кликнуть по Способы оплаты и получения документов</t>
  </si>
  <si>
    <t>Открывается страница Способы оплаты и получения документов</t>
  </si>
  <si>
    <t>Пользователь находится на странице Способы оплаты и получения документов</t>
  </si>
  <si>
    <t>TC-025</t>
  </si>
  <si>
    <t>Меню: ссылка «Туристам -&gt; Аннуляция и возврат денежных средств» ведет на страницу Аннуляция и возврат денежных средств</t>
  </si>
  <si>
    <t>2) Кликнуть по Аннуляция и возврат денежных средств</t>
  </si>
  <si>
    <t>Открывается страница Аннуляция и возврат денежных средств</t>
  </si>
  <si>
    <t>Пользователь находится на странице Аннуляция и возврат денежных средств</t>
  </si>
  <si>
    <t>TC-026</t>
  </si>
  <si>
    <t>2) Кликнуть по Образцы документов</t>
  </si>
  <si>
    <t>Меню: ссылка «Туристам -&gt; Образцы документов» ведет на страницу Документы</t>
  </si>
  <si>
    <t>Открывается страница Документы</t>
  </si>
  <si>
    <t>Пользователь находится на странице Документы</t>
  </si>
  <si>
    <t>TC-027</t>
  </si>
  <si>
    <t>Меню: ссылка «Туристам -&gt; Страхование» ведет на страницу Страхование</t>
  </si>
  <si>
    <t>2) Кликнуть по Страхование</t>
  </si>
  <si>
    <t>Открывается страница Страхование</t>
  </si>
  <si>
    <t>Пользователь находится на странице Страхование</t>
  </si>
  <si>
    <t>TC-028</t>
  </si>
  <si>
    <t>Меню: ссылка «Туристам -&gt; Отельная база наших туров» ведет на страницу Отельная база наших туров</t>
  </si>
  <si>
    <t>2) Кликнуть по Отельная база наших туров</t>
  </si>
  <si>
    <t>Пользователь находится на странице Отельная база наших туров</t>
  </si>
  <si>
    <t>Открывается страница Отельная база наших туров</t>
  </si>
  <si>
    <t>TC-029</t>
  </si>
  <si>
    <t>2) Кликнуть по Наш транспорт</t>
  </si>
  <si>
    <t>Открывается страница Примеры транспорта на экскурсиях туроператора ЭОС</t>
  </si>
  <si>
    <t>Пользователь находится на странице Примеры транспорта на экскурсиях туроператора ЭОС</t>
  </si>
  <si>
    <t>Меню: ссылка «Туристам -&gt; Наш транспорт» ведет на страницу Примеры транспорта на экскурсиях туроператора ЭОС</t>
  </si>
  <si>
    <t>TC-030</t>
  </si>
  <si>
    <t>2) Кликнуть по Важно знать</t>
  </si>
  <si>
    <t>Открывается страница Важно знать</t>
  </si>
  <si>
    <t>Пользователь находится на странице Важно знать</t>
  </si>
  <si>
    <t>TC-031</t>
  </si>
  <si>
    <r>
      <t>1) Навести курсор на пункт меню «</t>
    </r>
    <r>
      <rPr>
        <sz val="12"/>
        <color theme="1"/>
        <rFont val="Times New Roman"/>
        <family val="1"/>
        <charset val="204"/>
      </rPr>
      <t>Агентам</t>
    </r>
    <r>
      <rPr>
        <sz val="12"/>
        <color theme="1"/>
        <rFont val="Liberation Serif"/>
        <family val="1"/>
        <charset val="204"/>
      </rPr>
      <t>»</t>
    </r>
  </si>
  <si>
    <t>Меню: ссылка «Агентам» ведет на страницу Агентам</t>
  </si>
  <si>
    <t>Меню: ссылка «Туристам -&gt; Важно знать» ведет на страницу Важно знать</t>
  </si>
  <si>
    <t>Открывается страница Агентам</t>
  </si>
  <si>
    <t>Пользователь находится на странице Агентам</t>
  </si>
  <si>
    <t>TC-032</t>
  </si>
  <si>
    <t>Меню: ссылка «Агентам -&gt; Информация для турагенств» ведет на страницу Агентам</t>
  </si>
  <si>
    <t>2) Кликнуть по Информация для турагенств</t>
  </si>
  <si>
    <t>2) Кликнуть по Начало сотрудничества</t>
  </si>
  <si>
    <t>Открывается страница Начало сотрудничества</t>
  </si>
  <si>
    <t>Пользователь находится на странице Начало сотрудничества</t>
  </si>
  <si>
    <t>Меню: ссылка «Агентам -&gt; Начало сотрудничества» ведет на страницу Начало сотрудничества</t>
  </si>
  <si>
    <t>Меню: ссылка «Агентам -&gt; Как забронировать тур on-line» ведет на страницу Как забронировать тур on-line агенту</t>
  </si>
  <si>
    <t>Открывается страница Как забронировать тур on-line агенту</t>
  </si>
  <si>
    <t>Пользователь находится на странице Как забронировать тур on-line агенту</t>
  </si>
  <si>
    <t>TC-033</t>
  </si>
  <si>
    <t>TC-034</t>
  </si>
  <si>
    <t>Меню: ссылка «Агентам -&gt; Реквизиты фирмы» ведет на страницу Реквизиты фирмы</t>
  </si>
  <si>
    <t>2) Кликнуть по Реквизиты фирмы</t>
  </si>
  <si>
    <t>Открывается страница Реквизиты фирмы</t>
  </si>
  <si>
    <t>Пользователь находится на странице Реквизиты фирмы</t>
  </si>
  <si>
    <t>TC-035</t>
  </si>
  <si>
    <t>Меню: ссылка «О компании» ведет на страницу О компании</t>
  </si>
  <si>
    <t>Открывается страница О компании</t>
  </si>
  <si>
    <r>
      <t>1) Навести курсор на пункт меню «</t>
    </r>
    <r>
      <rPr>
        <sz val="12"/>
        <color theme="1"/>
        <rFont val="Times New Roman"/>
        <family val="1"/>
        <charset val="204"/>
      </rPr>
      <t>О компании</t>
    </r>
    <r>
      <rPr>
        <sz val="12"/>
        <color theme="1"/>
        <rFont val="Liberation Serif"/>
        <family val="1"/>
        <charset val="204"/>
      </rPr>
      <t>»</t>
    </r>
  </si>
  <si>
    <t>Пользователь находится на странице О компании</t>
  </si>
  <si>
    <t>TC-036</t>
  </si>
  <si>
    <t>Меню: ссылка «О компании -&gt; О нас» ведет на страницу О компании</t>
  </si>
  <si>
    <t>2) Кликнуть по О нас</t>
  </si>
  <si>
    <t>TC-037</t>
  </si>
  <si>
    <t>Меню: ссылка «О компании -&gt; Финансовые гарантии» ведет на страницу Финансовые гарантии</t>
  </si>
  <si>
    <t>2) Кликнуть по Финансовые гарантии</t>
  </si>
  <si>
    <t>Открывается страница Финансовые гарантии</t>
  </si>
  <si>
    <t>Пользователь находится на странице Финансовые гарантии</t>
  </si>
  <si>
    <t>TC-038</t>
  </si>
  <si>
    <t>2) Кликнуть по Политика обработки персональных данных</t>
  </si>
  <si>
    <t>Пользователь находится на странице Согласие на обработку персональных данных посетителей сайта</t>
  </si>
  <si>
    <t>Открывается страница Согласие на обработку персональных данных посетителей сайта</t>
  </si>
  <si>
    <t>Меню: ссылка «О компании -&gt; Отзывы» ведет на страницу Отзывы</t>
  </si>
  <si>
    <t>2) Кликнуть по Отзывы</t>
  </si>
  <si>
    <t>Открывается страница Отзывы</t>
  </si>
  <si>
    <t>Пользователь находится на странице Отзывы</t>
  </si>
  <si>
    <t>TC-039</t>
  </si>
  <si>
    <t>Меню: ссылка «О компании -&gt; Политика обработки персональных данных» ведет на страницу Согласие на обработку персональных данных посетителей сайта</t>
  </si>
  <si>
    <t>TC-040</t>
  </si>
  <si>
    <t>2) Кликнуть по Фотоотчеты</t>
  </si>
  <si>
    <t>Открывается страница Фотоотчеты</t>
  </si>
  <si>
    <t>Пользователь находится на странице Фотоотчеты</t>
  </si>
  <si>
    <t>Меню: ссылка «О компании -&gt; Фотоотчеты» ведет на страницу Фотоотчеты</t>
  </si>
  <si>
    <t>TC-041</t>
  </si>
  <si>
    <t>Меню: ссылка «О компании -&gt; Вакансии» ведет на страницу Вакансии</t>
  </si>
  <si>
    <t>2) Кликнуть по Вакансии</t>
  </si>
  <si>
    <t>Открывается страница Вакансии</t>
  </si>
  <si>
    <t>Пользователь находится на странице Вакансии</t>
  </si>
  <si>
    <t>Открывает пустую страницу Вакансии</t>
  </si>
  <si>
    <t>Открывается страница Вакансии, но она пустая</t>
  </si>
  <si>
    <t>Юзабилити шапки: ссылка в пункте «О компании -&gt; Вакансии» не соответствует заявленному</t>
  </si>
  <si>
    <t>https://prnt.sc/WiQ9XYOdLwiP</t>
  </si>
  <si>
    <t>TC-042</t>
  </si>
  <si>
    <t>Открывается страница Согласие на обработку персональных данных с помощью сервиса «ЯНДЕКС.МЕТРИКА»</t>
  </si>
  <si>
    <t>Пользователь находится на странице Согласие на обработку персональных данных с помощью сервиса «ЯНДЕКС.МЕТРИКА»</t>
  </si>
  <si>
    <t>TC-043</t>
  </si>
  <si>
    <t>2) Кликнуть по  ЯНДЕКС.МЕТРИКА</t>
  </si>
  <si>
    <t>Меню: ссылка «О компании -&gt; ЯНДЕКС.МЕТРИКА» ведет на страницу Согласие на обработку персональных данных с помощью сервиса «ЯНДЕКС.МЕТРИКА»</t>
  </si>
  <si>
    <t>Меню: ссылка «Контакты» ведет на страницу Котнакты</t>
  </si>
  <si>
    <t>Открывается страница Контакты</t>
  </si>
  <si>
    <t>Пользователь находится на странице Контакты</t>
  </si>
  <si>
    <t>Меню: ссылка «Написать в WhatsApp» ведет на сайт WhatsApp</t>
  </si>
  <si>
    <r>
      <t>1) Навести курсор на пункт меню «</t>
    </r>
    <r>
      <rPr>
        <sz val="12"/>
        <color theme="1"/>
        <rFont val="Times New Roman"/>
        <family val="1"/>
        <charset val="204"/>
      </rPr>
      <t>Написать в WhatsApp</t>
    </r>
    <r>
      <rPr>
        <sz val="12"/>
        <color theme="1"/>
        <rFont val="Liberation Serif"/>
        <family val="1"/>
        <charset val="204"/>
      </rPr>
      <t>»</t>
    </r>
  </si>
  <si>
    <t>Открывается сайт  WhatsApp</t>
  </si>
  <si>
    <t>Пользователь находится на сайте WhatsApp</t>
  </si>
  <si>
    <t>TC-044</t>
  </si>
  <si>
    <r>
      <t>1) Навести курсор на пункт меню «</t>
    </r>
    <r>
      <rPr>
        <sz val="12"/>
        <color theme="1"/>
        <rFont val="Times New Roman"/>
        <family val="1"/>
        <charset val="204"/>
      </rPr>
      <t>Подберите мне тур</t>
    </r>
    <r>
      <rPr>
        <sz val="12"/>
        <color theme="1"/>
        <rFont val="Liberation Serif"/>
        <family val="1"/>
        <charset val="204"/>
      </rPr>
      <t>»</t>
    </r>
  </si>
  <si>
    <t>Открывается страница Заявка на подбор тура</t>
  </si>
  <si>
    <t>Пользователь находится на странице Заявка на подбор тура</t>
  </si>
  <si>
    <t>Меню: ссылка «Подберите мне тур» ведет на страницу Заявка на подбор тура</t>
  </si>
  <si>
    <t>TC-045</t>
  </si>
  <si>
    <t>Medium</t>
  </si>
  <si>
    <t>TC-046</t>
  </si>
  <si>
    <t>BR-002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</si>
</sst>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&quot;.&quot;mm&quot;.&quot;yy"/>
  </numFmts>
  <fonts count="8" x14ac:knownFonts="1">
    <font>
      <sz val="11"/>
      <color theme="1"/>
      <name val="Calibri"/>
      <family val="2"/>
      <scheme val="minor"/>
    </font>
    <font>
      <b/>
      <sz val="12"/>
      <color rgb="FF000000"/>
      <name val="Times New Roman"/>
      <family val="1"/>
      <charset val="204"/>
    </font>
    <font>
      <b/>
      <sz val="12"/>
      <color theme="1"/>
      <name val="Times New Roman"/>
      <family val="1"/>
      <charset val="204"/>
    </font>
    <font>
      <sz val="12"/>
      <color theme="1"/>
      <name val="Times New Roman"/>
      <family val="1"/>
      <charset val="204"/>
    </font>
    <font>
      <sz val="12"/>
      <color theme="1"/>
      <name val="Liberation Serif"/>
      <family val="1"/>
      <charset val="204"/>
    </font>
    <font>
      <b/>
      <sz val="11"/>
      <color rgb="FF000000"/>
      <name val="Calibri"/>
      <family val="2"/>
      <charset val="204"/>
    </font>
    <font>
      <u/>
      <sz val="11"/>
      <color theme="10"/>
      <name val="Calibri"/>
      <family val="2"/>
      <scheme val="minor"/>
    </font>
    <font>
      <sz val="12"/>
      <color rgb="FF040D0A"/>
      <name val="Arial"/>
      <family val="2"/>
      <charset val="204"/>
    </font>
  </fonts>
  <fills count="5">
    <fill>
      <patternFill patternType="none"/>
    </fill>
    <fill>
      <patternFill patternType="gray125"/>
    </fill>
    <fill>
      <patternFill patternType="solid">
        <fgColor rgb="FFDCE6F2"/>
        <bgColor rgb="FFDCE6F2"/>
      </patternFill>
    </fill>
    <fill>
      <patternFill patternType="solid">
        <fgColor rgb="FF00FF00"/>
        <bgColor rgb="FF00FF00"/>
      </patternFill>
    </fill>
    <fill>
      <patternFill patternType="solid">
        <fgColor rgb="FFFF0000"/>
        <bgColor rgb="FF00FF00"/>
      </patternFill>
    </fill>
  </fills>
  <borders count="9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2">
    <xf numFmtId="0" fontId="0" fillId="0" borderId="0"/>
    <xf numFmtId="0" fontId="6" fillId="0" borderId="0" applyNumberFormat="0" applyFill="0" applyBorder="0" applyAlignment="0" applyProtection="0"/>
  </cellStyleXfs>
  <cellXfs count="3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5" fillId="2" borderId="0" xfId="0" applyFont="1" applyFill="1" applyAlignment="1">
      <alignment horizontal="center" vertical="center" wrapText="1"/>
    </xf>
    <xf numFmtId="0" fontId="5" fillId="2" borderId="2" xfId="0" applyFont="1" applyFill="1" applyBorder="1" applyAlignment="1">
      <alignment horizontal="center" vertical="center" wrapText="1"/>
    </xf>
    <xf numFmtId="0" fontId="0" fillId="3" borderId="3" xfId="0" applyFill="1" applyBorder="1" applyAlignment="1">
      <alignment horizontal="center" vertical="center"/>
    </xf>
    <xf numFmtId="0" fontId="0" fillId="0" borderId="3" xfId="0" applyBorder="1"/>
    <xf numFmtId="0" fontId="6" fillId="0" borderId="3" xfId="1" applyBorder="1" applyAlignment="1">
      <alignment horizontal="center" vertical="center"/>
    </xf>
    <xf numFmtId="0" fontId="0" fillId="0" borderId="0" xfId="0" applyAlignment="1">
      <alignment horizontal="center" vertical="center" wrapText="1"/>
    </xf>
    <xf numFmtId="14" fontId="0" fillId="0" borderId="0" xfId="0" applyNumberFormat="1" applyAlignment="1">
      <alignment horizontal="center" vertical="center" wrapText="1"/>
    </xf>
    <xf numFmtId="0" fontId="6" fillId="0" borderId="0" xfId="1" applyAlignment="1">
      <alignment horizontal="center" vertical="center" wrapText="1"/>
    </xf>
    <xf numFmtId="0" fontId="2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/>
    </xf>
    <xf numFmtId="164" fontId="0" fillId="0" borderId="2" xfId="0" applyNumberFormat="1" applyBorder="1" applyAlignment="1">
      <alignment horizontal="center" vertical="center"/>
    </xf>
    <xf numFmtId="164" fontId="0" fillId="0" borderId="0" xfId="0" applyNumberFormat="1" applyBorder="1" applyAlignment="1">
      <alignment horizontal="center" vertical="center"/>
    </xf>
    <xf numFmtId="0" fontId="1" fillId="0" borderId="2" xfId="0" applyFont="1" applyBorder="1" applyAlignment="1">
      <alignment horizontal="center" vertical="center" wrapText="1"/>
    </xf>
    <xf numFmtId="0" fontId="1" fillId="0" borderId="0" xfId="0" applyFont="1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0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3" borderId="7" xfId="0" applyFill="1" applyBorder="1" applyAlignment="1">
      <alignment horizontal="center" vertical="center"/>
    </xf>
    <xf numFmtId="0" fontId="0" fillId="4" borderId="7" xfId="0" applyFill="1" applyBorder="1" applyAlignment="1">
      <alignment horizontal="center" vertical="center"/>
    </xf>
    <xf numFmtId="0" fontId="0" fillId="0" borderId="8" xfId="0" applyBorder="1"/>
    <xf numFmtId="0" fontId="0" fillId="0" borderId="6" xfId="0" applyBorder="1"/>
    <xf numFmtId="0" fontId="7" fillId="0" borderId="6" xfId="0" applyFont="1" applyBorder="1" applyAlignment="1">
      <alignment wrapText="1"/>
    </xf>
    <xf numFmtId="0" fontId="0" fillId="0" borderId="6" xfId="0" applyBorder="1" applyAlignment="1">
      <alignment wrapText="1"/>
    </xf>
    <xf numFmtId="0" fontId="0" fillId="0" borderId="4" xfId="0" applyBorder="1"/>
    <xf numFmtId="0" fontId="6" fillId="0" borderId="6" xfId="1" applyBorder="1" applyAlignment="1">
      <alignment horizontal="center" vertical="center"/>
    </xf>
  </cellXfs>
  <cellStyles count="2">
    <cellStyle name="Гиперссылка" xfId="1" builtinId="8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94"/>
  <sheetViews>
    <sheetView tabSelected="1" topLeftCell="A84" workbookViewId="0">
      <selection activeCell="C98" sqref="C98"/>
    </sheetView>
  </sheetViews>
  <sheetFormatPr defaultRowHeight="15" x14ac:dyDescent="0.25"/>
  <cols>
    <col min="1" max="7" width="25.7109375" customWidth="1"/>
  </cols>
  <sheetData>
    <row r="1" spans="1:7" ht="47.25" x14ac:dyDescent="0.25">
      <c r="A1" s="1" t="s">
        <v>0</v>
      </c>
      <c r="B1" s="1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6</v>
      </c>
    </row>
    <row r="2" spans="1:7" ht="46.5" x14ac:dyDescent="0.25">
      <c r="A2" s="14" t="s">
        <v>12</v>
      </c>
      <c r="B2" s="15" t="s">
        <v>51</v>
      </c>
      <c r="C2" s="15" t="s">
        <v>8</v>
      </c>
      <c r="D2" s="4" t="s">
        <v>52</v>
      </c>
      <c r="E2" s="4" t="s">
        <v>9</v>
      </c>
      <c r="F2" s="15" t="s">
        <v>54</v>
      </c>
      <c r="G2" s="16" t="s">
        <v>10</v>
      </c>
    </row>
    <row r="3" spans="1:7" ht="30.75" x14ac:dyDescent="0.25">
      <c r="A3" s="14"/>
      <c r="B3" s="15"/>
      <c r="C3" s="15"/>
      <c r="D3" s="4" t="s">
        <v>11</v>
      </c>
      <c r="E3" s="4" t="s">
        <v>53</v>
      </c>
      <c r="F3" s="15"/>
      <c r="G3" s="16"/>
    </row>
    <row r="4" spans="1:7" ht="47.25" x14ac:dyDescent="0.25">
      <c r="A4" s="14" t="s">
        <v>22</v>
      </c>
      <c r="B4" s="15" t="s">
        <v>14</v>
      </c>
      <c r="C4" s="15" t="s">
        <v>8</v>
      </c>
      <c r="D4" s="5" t="s">
        <v>15</v>
      </c>
      <c r="E4" s="5" t="s">
        <v>9</v>
      </c>
      <c r="F4" s="15" t="s">
        <v>16</v>
      </c>
      <c r="G4" s="16" t="s">
        <v>17</v>
      </c>
    </row>
    <row r="5" spans="1:7" ht="31.5" x14ac:dyDescent="0.25">
      <c r="A5" s="14"/>
      <c r="B5" s="15"/>
      <c r="C5" s="15"/>
      <c r="D5" s="5" t="s">
        <v>18</v>
      </c>
      <c r="E5" s="5" t="s">
        <v>19</v>
      </c>
      <c r="F5" s="15"/>
      <c r="G5" s="16"/>
    </row>
    <row r="6" spans="1:7" ht="94.5" x14ac:dyDescent="0.25">
      <c r="A6" s="14"/>
      <c r="B6" s="15"/>
      <c r="C6" s="15"/>
      <c r="D6" s="5" t="s">
        <v>20</v>
      </c>
      <c r="E6" s="5" t="s">
        <v>21</v>
      </c>
      <c r="F6" s="15"/>
      <c r="G6" s="16"/>
    </row>
    <row r="7" spans="1:7" ht="45.75" x14ac:dyDescent="0.25">
      <c r="A7" s="14" t="s">
        <v>23</v>
      </c>
      <c r="B7" s="15" t="s">
        <v>55</v>
      </c>
      <c r="C7" s="15" t="s">
        <v>8</v>
      </c>
      <c r="D7" s="4" t="s">
        <v>56</v>
      </c>
      <c r="E7" s="4" t="s">
        <v>9</v>
      </c>
      <c r="F7" s="15" t="s">
        <v>58</v>
      </c>
      <c r="G7" s="16" t="s">
        <v>10</v>
      </c>
    </row>
    <row r="8" spans="1:7" ht="30" x14ac:dyDescent="0.25">
      <c r="A8" s="14"/>
      <c r="B8" s="15"/>
      <c r="C8" s="15"/>
      <c r="D8" s="4" t="s">
        <v>11</v>
      </c>
      <c r="E8" s="4" t="s">
        <v>57</v>
      </c>
      <c r="F8" s="15"/>
      <c r="G8" s="16"/>
    </row>
    <row r="9" spans="1:7" ht="45.75" x14ac:dyDescent="0.25">
      <c r="A9" s="14" t="s">
        <v>24</v>
      </c>
      <c r="B9" s="15" t="s">
        <v>63</v>
      </c>
      <c r="C9" s="15" t="s">
        <v>8</v>
      </c>
      <c r="D9" s="4" t="s">
        <v>56</v>
      </c>
      <c r="E9" s="4" t="s">
        <v>9</v>
      </c>
      <c r="F9" s="15" t="s">
        <v>62</v>
      </c>
      <c r="G9" s="16" t="s">
        <v>10</v>
      </c>
    </row>
    <row r="10" spans="1:7" ht="45" x14ac:dyDescent="0.25">
      <c r="A10" s="14"/>
      <c r="B10" s="15"/>
      <c r="C10" s="15"/>
      <c r="D10" s="4" t="s">
        <v>60</v>
      </c>
      <c r="E10" s="4" t="s">
        <v>61</v>
      </c>
      <c r="F10" s="15"/>
      <c r="G10" s="16"/>
    </row>
    <row r="11" spans="1:7" ht="45.75" x14ac:dyDescent="0.25">
      <c r="A11" s="14" t="s">
        <v>25</v>
      </c>
      <c r="B11" s="15" t="s">
        <v>64</v>
      </c>
      <c r="C11" s="15" t="s">
        <v>8</v>
      </c>
      <c r="D11" s="4" t="s">
        <v>56</v>
      </c>
      <c r="E11" s="4" t="s">
        <v>9</v>
      </c>
      <c r="F11" s="15" t="s">
        <v>67</v>
      </c>
      <c r="G11" s="16" t="s">
        <v>10</v>
      </c>
    </row>
    <row r="12" spans="1:7" ht="30" x14ac:dyDescent="0.25">
      <c r="A12" s="14"/>
      <c r="B12" s="15"/>
      <c r="C12" s="15"/>
      <c r="D12" s="4" t="s">
        <v>65</v>
      </c>
      <c r="E12" s="4" t="s">
        <v>66</v>
      </c>
      <c r="F12" s="15"/>
      <c r="G12" s="16"/>
    </row>
    <row r="13" spans="1:7" ht="45.75" x14ac:dyDescent="0.25">
      <c r="A13" s="14" t="s">
        <v>26</v>
      </c>
      <c r="B13" s="15" t="s">
        <v>68</v>
      </c>
      <c r="C13" s="15" t="s">
        <v>8</v>
      </c>
      <c r="D13" s="4" t="s">
        <v>56</v>
      </c>
      <c r="E13" s="4" t="s">
        <v>9</v>
      </c>
      <c r="F13" s="15" t="s">
        <v>71</v>
      </c>
      <c r="G13" s="16" t="s">
        <v>10</v>
      </c>
    </row>
    <row r="14" spans="1:7" ht="45" x14ac:dyDescent="0.25">
      <c r="A14" s="14"/>
      <c r="B14" s="15"/>
      <c r="C14" s="15"/>
      <c r="D14" s="4" t="s">
        <v>69</v>
      </c>
      <c r="E14" s="4" t="s">
        <v>70</v>
      </c>
      <c r="F14" s="15"/>
      <c r="G14" s="16"/>
    </row>
    <row r="15" spans="1:7" ht="45.75" customHeight="1" x14ac:dyDescent="0.25">
      <c r="A15" s="14" t="s">
        <v>27</v>
      </c>
      <c r="B15" s="15" t="s">
        <v>74</v>
      </c>
      <c r="C15" s="15" t="s">
        <v>8</v>
      </c>
      <c r="D15" s="4" t="s">
        <v>59</v>
      </c>
      <c r="E15" s="4" t="s">
        <v>9</v>
      </c>
      <c r="F15" s="15" t="s">
        <v>73</v>
      </c>
      <c r="G15" s="16" t="s">
        <v>10</v>
      </c>
    </row>
    <row r="16" spans="1:7" ht="45" x14ac:dyDescent="0.25">
      <c r="A16" s="14"/>
      <c r="B16" s="15"/>
      <c r="C16" s="15"/>
      <c r="D16" s="4" t="s">
        <v>11</v>
      </c>
      <c r="E16" s="4" t="s">
        <v>72</v>
      </c>
      <c r="F16" s="15"/>
      <c r="G16" s="16"/>
    </row>
    <row r="17" spans="1:7" ht="45" x14ac:dyDescent="0.25">
      <c r="A17" s="14" t="s">
        <v>28</v>
      </c>
      <c r="B17" s="15" t="s">
        <v>75</v>
      </c>
      <c r="C17" s="15" t="s">
        <v>8</v>
      </c>
      <c r="D17" s="4" t="s">
        <v>59</v>
      </c>
      <c r="E17" s="4" t="s">
        <v>9</v>
      </c>
      <c r="F17" s="15" t="s">
        <v>78</v>
      </c>
      <c r="G17" s="16" t="s">
        <v>10</v>
      </c>
    </row>
    <row r="18" spans="1:7" ht="45" x14ac:dyDescent="0.25">
      <c r="A18" s="14"/>
      <c r="B18" s="15"/>
      <c r="C18" s="15"/>
      <c r="D18" s="4" t="s">
        <v>76</v>
      </c>
      <c r="E18" s="4" t="s">
        <v>77</v>
      </c>
      <c r="F18" s="15"/>
      <c r="G18" s="16"/>
    </row>
    <row r="19" spans="1:7" ht="45" x14ac:dyDescent="0.25">
      <c r="A19" s="14" t="s">
        <v>29</v>
      </c>
      <c r="B19" s="15" t="s">
        <v>79</v>
      </c>
      <c r="C19" s="15" t="s">
        <v>8</v>
      </c>
      <c r="D19" s="4" t="s">
        <v>59</v>
      </c>
      <c r="E19" s="4" t="s">
        <v>9</v>
      </c>
      <c r="F19" s="15" t="s">
        <v>82</v>
      </c>
      <c r="G19" s="16" t="s">
        <v>10</v>
      </c>
    </row>
    <row r="20" spans="1:7" ht="60" x14ac:dyDescent="0.25">
      <c r="A20" s="14"/>
      <c r="B20" s="15"/>
      <c r="C20" s="15"/>
      <c r="D20" s="4" t="s">
        <v>80</v>
      </c>
      <c r="E20" s="4" t="s">
        <v>81</v>
      </c>
      <c r="F20" s="15"/>
      <c r="G20" s="16"/>
    </row>
    <row r="21" spans="1:7" ht="45" x14ac:dyDescent="0.25">
      <c r="A21" s="14" t="s">
        <v>7</v>
      </c>
      <c r="B21" s="15" t="s">
        <v>83</v>
      </c>
      <c r="C21" s="15" t="s">
        <v>8</v>
      </c>
      <c r="D21" s="4" t="s">
        <v>59</v>
      </c>
      <c r="E21" s="4" t="s">
        <v>9</v>
      </c>
      <c r="F21" s="15" t="s">
        <v>86</v>
      </c>
      <c r="G21" s="16" t="s">
        <v>10</v>
      </c>
    </row>
    <row r="22" spans="1:7" ht="60" x14ac:dyDescent="0.25">
      <c r="A22" s="14"/>
      <c r="B22" s="15"/>
      <c r="C22" s="15"/>
      <c r="D22" s="4" t="s">
        <v>84</v>
      </c>
      <c r="E22" s="4" t="s">
        <v>85</v>
      </c>
      <c r="F22" s="15"/>
      <c r="G22" s="16"/>
    </row>
    <row r="23" spans="1:7" ht="45" customHeight="1" x14ac:dyDescent="0.25">
      <c r="A23" s="14" t="s">
        <v>13</v>
      </c>
      <c r="B23" s="15" t="s">
        <v>87</v>
      </c>
      <c r="C23" s="15" t="s">
        <v>8</v>
      </c>
      <c r="D23" s="4" t="s">
        <v>52</v>
      </c>
      <c r="E23" s="4" t="s">
        <v>9</v>
      </c>
      <c r="F23" s="15" t="s">
        <v>90</v>
      </c>
      <c r="G23" s="16" t="s">
        <v>10</v>
      </c>
    </row>
    <row r="24" spans="1:7" ht="30" x14ac:dyDescent="0.25">
      <c r="A24" s="14"/>
      <c r="B24" s="15"/>
      <c r="C24" s="15"/>
      <c r="D24" s="4" t="s">
        <v>88</v>
      </c>
      <c r="E24" s="4" t="s">
        <v>89</v>
      </c>
      <c r="F24" s="15"/>
      <c r="G24" s="16"/>
    </row>
    <row r="25" spans="1:7" ht="46.5" x14ac:dyDescent="0.25">
      <c r="A25" s="14" t="s">
        <v>30</v>
      </c>
      <c r="B25" s="15" t="s">
        <v>91</v>
      </c>
      <c r="C25" s="15" t="s">
        <v>8</v>
      </c>
      <c r="D25" s="4" t="s">
        <v>52</v>
      </c>
      <c r="E25" s="4" t="s">
        <v>9</v>
      </c>
      <c r="F25" s="15" t="s">
        <v>94</v>
      </c>
      <c r="G25" s="16" t="s">
        <v>10</v>
      </c>
    </row>
    <row r="26" spans="1:7" ht="45" x14ac:dyDescent="0.25">
      <c r="A26" s="14"/>
      <c r="B26" s="15"/>
      <c r="C26" s="15"/>
      <c r="D26" s="4" t="s">
        <v>92</v>
      </c>
      <c r="E26" s="4" t="s">
        <v>93</v>
      </c>
      <c r="F26" s="15"/>
      <c r="G26" s="16"/>
    </row>
    <row r="27" spans="1:7" ht="46.5" x14ac:dyDescent="0.25">
      <c r="A27" s="14" t="s">
        <v>31</v>
      </c>
      <c r="B27" s="15" t="s">
        <v>95</v>
      </c>
      <c r="C27" s="15" t="s">
        <v>8</v>
      </c>
      <c r="D27" s="4" t="s">
        <v>52</v>
      </c>
      <c r="E27" s="4" t="s">
        <v>9</v>
      </c>
      <c r="F27" s="15" t="s">
        <v>101</v>
      </c>
      <c r="G27" s="16" t="s">
        <v>10</v>
      </c>
    </row>
    <row r="28" spans="1:7" ht="45" x14ac:dyDescent="0.25">
      <c r="A28" s="14"/>
      <c r="B28" s="15"/>
      <c r="C28" s="15"/>
      <c r="D28" s="4" t="s">
        <v>96</v>
      </c>
      <c r="E28" s="4" t="s">
        <v>97</v>
      </c>
      <c r="F28" s="15"/>
      <c r="G28" s="16"/>
    </row>
    <row r="29" spans="1:7" ht="46.5" x14ac:dyDescent="0.25">
      <c r="A29" s="14" t="s">
        <v>42</v>
      </c>
      <c r="B29" s="15" t="s">
        <v>100</v>
      </c>
      <c r="C29" s="15" t="s">
        <v>8</v>
      </c>
      <c r="D29" s="4" t="s">
        <v>52</v>
      </c>
      <c r="E29" s="4" t="s">
        <v>9</v>
      </c>
      <c r="F29" s="15" t="s">
        <v>102</v>
      </c>
      <c r="G29" s="16" t="s">
        <v>10</v>
      </c>
    </row>
    <row r="30" spans="1:7" ht="60" x14ac:dyDescent="0.25">
      <c r="A30" s="14"/>
      <c r="B30" s="15"/>
      <c r="C30" s="15"/>
      <c r="D30" s="4" t="s">
        <v>99</v>
      </c>
      <c r="E30" s="4" t="s">
        <v>103</v>
      </c>
      <c r="F30" s="15"/>
      <c r="G30" s="16"/>
    </row>
    <row r="31" spans="1:7" ht="46.5" x14ac:dyDescent="0.25">
      <c r="A31" s="14" t="s">
        <v>98</v>
      </c>
      <c r="B31" s="15" t="s">
        <v>104</v>
      </c>
      <c r="C31" s="15" t="s">
        <v>8</v>
      </c>
      <c r="D31" s="4" t="s">
        <v>52</v>
      </c>
      <c r="E31" s="4" t="s">
        <v>9</v>
      </c>
      <c r="F31" s="15" t="s">
        <v>107</v>
      </c>
      <c r="G31" s="16" t="s">
        <v>10</v>
      </c>
    </row>
    <row r="32" spans="1:7" ht="45" x14ac:dyDescent="0.25">
      <c r="A32" s="14"/>
      <c r="B32" s="15"/>
      <c r="C32" s="15"/>
      <c r="D32" s="4" t="s">
        <v>105</v>
      </c>
      <c r="E32" s="4" t="s">
        <v>106</v>
      </c>
      <c r="F32" s="15"/>
      <c r="G32" s="16"/>
    </row>
    <row r="33" spans="1:7" ht="46.5" x14ac:dyDescent="0.25">
      <c r="A33" s="14" t="s">
        <v>116</v>
      </c>
      <c r="B33" s="15" t="s">
        <v>118</v>
      </c>
      <c r="C33" s="15" t="s">
        <v>8</v>
      </c>
      <c r="D33" s="4" t="s">
        <v>52</v>
      </c>
      <c r="E33" s="4" t="s">
        <v>9</v>
      </c>
      <c r="F33" s="15" t="s">
        <v>62</v>
      </c>
      <c r="G33" s="16" t="s">
        <v>10</v>
      </c>
    </row>
    <row r="34" spans="1:7" ht="45" x14ac:dyDescent="0.25">
      <c r="A34" s="14"/>
      <c r="B34" s="15"/>
      <c r="C34" s="15"/>
      <c r="D34" s="4" t="s">
        <v>117</v>
      </c>
      <c r="E34" s="4" t="s">
        <v>61</v>
      </c>
      <c r="F34" s="15"/>
      <c r="G34" s="16"/>
    </row>
    <row r="35" spans="1:7" ht="46.5" x14ac:dyDescent="0.25">
      <c r="A35" s="14" t="s">
        <v>119</v>
      </c>
      <c r="B35" s="15" t="s">
        <v>120</v>
      </c>
      <c r="C35" s="15" t="s">
        <v>8</v>
      </c>
      <c r="D35" s="4" t="s">
        <v>52</v>
      </c>
      <c r="E35" s="4" t="s">
        <v>9</v>
      </c>
      <c r="F35" s="15" t="s">
        <v>122</v>
      </c>
      <c r="G35" s="16" t="s">
        <v>10</v>
      </c>
    </row>
    <row r="36" spans="1:7" ht="30" x14ac:dyDescent="0.25">
      <c r="A36" s="14"/>
      <c r="B36" s="15"/>
      <c r="C36" s="15"/>
      <c r="D36" s="4" t="s">
        <v>125</v>
      </c>
      <c r="E36" s="4" t="s">
        <v>121</v>
      </c>
      <c r="F36" s="15"/>
      <c r="G36" s="16"/>
    </row>
    <row r="37" spans="1:7" ht="46.5" x14ac:dyDescent="0.25">
      <c r="A37" s="14" t="s">
        <v>123</v>
      </c>
      <c r="B37" s="15" t="s">
        <v>124</v>
      </c>
      <c r="C37" s="15" t="s">
        <v>8</v>
      </c>
      <c r="D37" s="4" t="s">
        <v>52</v>
      </c>
      <c r="E37" s="4" t="s">
        <v>9</v>
      </c>
      <c r="F37" s="15" t="s">
        <v>128</v>
      </c>
      <c r="G37" s="16" t="s">
        <v>10</v>
      </c>
    </row>
    <row r="38" spans="1:7" ht="30" x14ac:dyDescent="0.25">
      <c r="A38" s="14"/>
      <c r="B38" s="15"/>
      <c r="C38" s="15"/>
      <c r="D38" s="4" t="s">
        <v>126</v>
      </c>
      <c r="E38" s="4" t="s">
        <v>127</v>
      </c>
      <c r="F38" s="15"/>
      <c r="G38" s="16"/>
    </row>
    <row r="39" spans="1:7" ht="46.5" x14ac:dyDescent="0.25">
      <c r="A39" s="14" t="s">
        <v>129</v>
      </c>
      <c r="B39" s="15" t="s">
        <v>130</v>
      </c>
      <c r="C39" s="15" t="s">
        <v>8</v>
      </c>
      <c r="D39" s="4" t="s">
        <v>52</v>
      </c>
      <c r="E39" s="4" t="s">
        <v>9</v>
      </c>
      <c r="F39" s="15" t="s">
        <v>133</v>
      </c>
      <c r="G39" s="16" t="s">
        <v>10</v>
      </c>
    </row>
    <row r="40" spans="1:7" ht="30" x14ac:dyDescent="0.25">
      <c r="A40" s="14"/>
      <c r="B40" s="15"/>
      <c r="C40" s="15"/>
      <c r="D40" s="4" t="s">
        <v>131</v>
      </c>
      <c r="E40" s="4" t="s">
        <v>132</v>
      </c>
      <c r="F40" s="15"/>
      <c r="G40" s="16"/>
    </row>
    <row r="41" spans="1:7" ht="45" x14ac:dyDescent="0.25">
      <c r="A41" s="14" t="s">
        <v>134</v>
      </c>
      <c r="B41" s="15" t="s">
        <v>135</v>
      </c>
      <c r="C41" s="15" t="s">
        <v>8</v>
      </c>
      <c r="D41" s="4" t="s">
        <v>138</v>
      </c>
      <c r="E41" s="4" t="s">
        <v>9</v>
      </c>
      <c r="F41" s="15" t="s">
        <v>137</v>
      </c>
      <c r="G41" s="16" t="s">
        <v>10</v>
      </c>
    </row>
    <row r="42" spans="1:7" ht="30" x14ac:dyDescent="0.25">
      <c r="A42" s="14"/>
      <c r="B42" s="15"/>
      <c r="C42" s="15"/>
      <c r="D42" s="4" t="s">
        <v>11</v>
      </c>
      <c r="E42" s="4" t="s">
        <v>136</v>
      </c>
      <c r="F42" s="15"/>
      <c r="G42" s="16"/>
    </row>
    <row r="43" spans="1:7" ht="45" x14ac:dyDescent="0.25">
      <c r="A43" s="14" t="s">
        <v>139</v>
      </c>
      <c r="B43" s="15" t="s">
        <v>140</v>
      </c>
      <c r="C43" s="15" t="s">
        <v>8</v>
      </c>
      <c r="D43" s="4" t="s">
        <v>138</v>
      </c>
      <c r="E43" s="4" t="s">
        <v>9</v>
      </c>
      <c r="F43" s="15" t="s">
        <v>137</v>
      </c>
      <c r="G43" s="16" t="s">
        <v>10</v>
      </c>
    </row>
    <row r="44" spans="1:7" ht="45" x14ac:dyDescent="0.25">
      <c r="A44" s="14"/>
      <c r="B44" s="15"/>
      <c r="C44" s="15"/>
      <c r="D44" s="4" t="s">
        <v>141</v>
      </c>
      <c r="E44" s="4" t="s">
        <v>136</v>
      </c>
      <c r="F44" s="15"/>
      <c r="G44" s="16"/>
    </row>
    <row r="45" spans="1:7" ht="45" x14ac:dyDescent="0.25">
      <c r="A45" s="14" t="s">
        <v>142</v>
      </c>
      <c r="B45" s="15" t="s">
        <v>147</v>
      </c>
      <c r="C45" s="15" t="s">
        <v>8</v>
      </c>
      <c r="D45" s="4" t="s">
        <v>138</v>
      </c>
      <c r="E45" s="4" t="s">
        <v>9</v>
      </c>
      <c r="F45" s="15" t="s">
        <v>145</v>
      </c>
      <c r="G45" s="16" t="s">
        <v>10</v>
      </c>
    </row>
    <row r="46" spans="1:7" ht="45" x14ac:dyDescent="0.25">
      <c r="A46" s="14"/>
      <c r="B46" s="15"/>
      <c r="C46" s="15"/>
      <c r="D46" s="4" t="s">
        <v>143</v>
      </c>
      <c r="E46" s="4" t="s">
        <v>144</v>
      </c>
      <c r="F46" s="15"/>
      <c r="G46" s="16"/>
    </row>
    <row r="47" spans="1:7" ht="45" x14ac:dyDescent="0.25">
      <c r="A47" s="14" t="s">
        <v>146</v>
      </c>
      <c r="B47" s="15" t="s">
        <v>148</v>
      </c>
      <c r="C47" s="15" t="s">
        <v>8</v>
      </c>
      <c r="D47" s="4" t="s">
        <v>138</v>
      </c>
      <c r="E47" s="4" t="s">
        <v>9</v>
      </c>
      <c r="F47" s="15" t="s">
        <v>151</v>
      </c>
      <c r="G47" s="16" t="s">
        <v>10</v>
      </c>
    </row>
    <row r="48" spans="1:7" ht="45" x14ac:dyDescent="0.25">
      <c r="A48" s="14"/>
      <c r="B48" s="15"/>
      <c r="C48" s="15"/>
      <c r="D48" s="4" t="s">
        <v>149</v>
      </c>
      <c r="E48" s="4" t="s">
        <v>150</v>
      </c>
      <c r="F48" s="15"/>
      <c r="G48" s="16"/>
    </row>
    <row r="49" spans="1:7" ht="45" x14ac:dyDescent="0.25">
      <c r="A49" s="14" t="s">
        <v>152</v>
      </c>
      <c r="B49" s="15" t="s">
        <v>153</v>
      </c>
      <c r="C49" s="15" t="s">
        <v>8</v>
      </c>
      <c r="D49" s="4" t="s">
        <v>138</v>
      </c>
      <c r="E49" s="4" t="s">
        <v>9</v>
      </c>
      <c r="F49" s="15" t="s">
        <v>156</v>
      </c>
      <c r="G49" s="16" t="s">
        <v>10</v>
      </c>
    </row>
    <row r="50" spans="1:7" ht="45" x14ac:dyDescent="0.25">
      <c r="A50" s="14"/>
      <c r="B50" s="15"/>
      <c r="C50" s="15"/>
      <c r="D50" s="4" t="s">
        <v>154</v>
      </c>
      <c r="E50" s="4" t="s">
        <v>155</v>
      </c>
      <c r="F50" s="15"/>
      <c r="G50" s="16"/>
    </row>
    <row r="51" spans="1:7" ht="45" x14ac:dyDescent="0.25">
      <c r="A51" s="14" t="s">
        <v>157</v>
      </c>
      <c r="B51" s="15" t="s">
        <v>158</v>
      </c>
      <c r="C51" s="15" t="s">
        <v>8</v>
      </c>
      <c r="D51" s="4" t="s">
        <v>138</v>
      </c>
      <c r="E51" s="4" t="s">
        <v>9</v>
      </c>
      <c r="F51" s="15" t="s">
        <v>161</v>
      </c>
      <c r="G51" s="16" t="s">
        <v>10</v>
      </c>
    </row>
    <row r="52" spans="1:7" ht="45" x14ac:dyDescent="0.25">
      <c r="A52" s="14"/>
      <c r="B52" s="15"/>
      <c r="C52" s="15"/>
      <c r="D52" s="4" t="s">
        <v>159</v>
      </c>
      <c r="E52" s="4" t="s">
        <v>160</v>
      </c>
      <c r="F52" s="15"/>
      <c r="G52" s="16"/>
    </row>
    <row r="53" spans="1:7" ht="45" x14ac:dyDescent="0.25">
      <c r="A53" s="14" t="s">
        <v>162</v>
      </c>
      <c r="B53" s="15" t="s">
        <v>164</v>
      </c>
      <c r="C53" s="15" t="s">
        <v>8</v>
      </c>
      <c r="D53" s="4" t="s">
        <v>138</v>
      </c>
      <c r="E53" s="4" t="s">
        <v>9</v>
      </c>
      <c r="F53" s="15" t="s">
        <v>166</v>
      </c>
      <c r="G53" s="16" t="s">
        <v>10</v>
      </c>
    </row>
    <row r="54" spans="1:7" ht="30" x14ac:dyDescent="0.25">
      <c r="A54" s="14"/>
      <c r="B54" s="15"/>
      <c r="C54" s="15"/>
      <c r="D54" s="4" t="s">
        <v>163</v>
      </c>
      <c r="E54" s="4" t="s">
        <v>165</v>
      </c>
      <c r="F54" s="15"/>
      <c r="G54" s="16"/>
    </row>
    <row r="55" spans="1:7" ht="45" x14ac:dyDescent="0.25">
      <c r="A55" s="14" t="s">
        <v>167</v>
      </c>
      <c r="B55" s="15" t="s">
        <v>168</v>
      </c>
      <c r="C55" s="15" t="s">
        <v>8</v>
      </c>
      <c r="D55" s="4" t="s">
        <v>138</v>
      </c>
      <c r="E55" s="4" t="s">
        <v>9</v>
      </c>
      <c r="F55" s="15" t="s">
        <v>171</v>
      </c>
      <c r="G55" s="16" t="s">
        <v>10</v>
      </c>
    </row>
    <row r="56" spans="1:7" ht="30" x14ac:dyDescent="0.25">
      <c r="A56" s="14"/>
      <c r="B56" s="15"/>
      <c r="C56" s="15"/>
      <c r="D56" s="4" t="s">
        <v>169</v>
      </c>
      <c r="E56" s="4" t="s">
        <v>170</v>
      </c>
      <c r="F56" s="15"/>
      <c r="G56" s="16"/>
    </row>
    <row r="57" spans="1:7" ht="45" x14ac:dyDescent="0.25">
      <c r="A57" s="14" t="s">
        <v>172</v>
      </c>
      <c r="B57" s="15" t="s">
        <v>173</v>
      </c>
      <c r="C57" s="15" t="s">
        <v>8</v>
      </c>
      <c r="D57" s="4" t="s">
        <v>138</v>
      </c>
      <c r="E57" s="4" t="s">
        <v>9</v>
      </c>
      <c r="F57" s="15" t="s">
        <v>175</v>
      </c>
      <c r="G57" s="16" t="s">
        <v>10</v>
      </c>
    </row>
    <row r="58" spans="1:7" ht="45" x14ac:dyDescent="0.25">
      <c r="A58" s="14"/>
      <c r="B58" s="15"/>
      <c r="C58" s="15"/>
      <c r="D58" s="4" t="s">
        <v>174</v>
      </c>
      <c r="E58" s="4" t="s">
        <v>176</v>
      </c>
      <c r="F58" s="15"/>
      <c r="G58" s="16"/>
    </row>
    <row r="59" spans="1:7" ht="45" x14ac:dyDescent="0.25">
      <c r="A59" s="14" t="s">
        <v>177</v>
      </c>
      <c r="B59" s="15" t="s">
        <v>181</v>
      </c>
      <c r="C59" s="15" t="s">
        <v>8</v>
      </c>
      <c r="D59" s="4" t="s">
        <v>138</v>
      </c>
      <c r="E59" s="4" t="s">
        <v>9</v>
      </c>
      <c r="F59" s="15" t="s">
        <v>180</v>
      </c>
      <c r="G59" s="16" t="s">
        <v>10</v>
      </c>
    </row>
    <row r="60" spans="1:7" ht="60" x14ac:dyDescent="0.25">
      <c r="A60" s="14"/>
      <c r="B60" s="15"/>
      <c r="C60" s="15"/>
      <c r="D60" s="4" t="s">
        <v>178</v>
      </c>
      <c r="E60" s="4" t="s">
        <v>179</v>
      </c>
      <c r="F60" s="15"/>
      <c r="G60" s="16"/>
    </row>
    <row r="61" spans="1:7" ht="45" x14ac:dyDescent="0.25">
      <c r="A61" s="14" t="s">
        <v>182</v>
      </c>
      <c r="B61" s="15" t="s">
        <v>189</v>
      </c>
      <c r="C61" s="15" t="s">
        <v>8</v>
      </c>
      <c r="D61" s="4" t="s">
        <v>138</v>
      </c>
      <c r="E61" s="4" t="s">
        <v>9</v>
      </c>
      <c r="F61" s="15" t="s">
        <v>185</v>
      </c>
      <c r="G61" s="16" t="s">
        <v>10</v>
      </c>
    </row>
    <row r="62" spans="1:7" ht="30" x14ac:dyDescent="0.25">
      <c r="A62" s="14"/>
      <c r="B62" s="15"/>
      <c r="C62" s="15"/>
      <c r="D62" s="4" t="s">
        <v>183</v>
      </c>
      <c r="E62" s="4" t="s">
        <v>184</v>
      </c>
      <c r="F62" s="15"/>
      <c r="G62" s="16"/>
    </row>
    <row r="63" spans="1:7" ht="45" x14ac:dyDescent="0.25">
      <c r="A63" s="14" t="s">
        <v>186</v>
      </c>
      <c r="B63" s="15" t="s">
        <v>188</v>
      </c>
      <c r="C63" s="15" t="s">
        <v>8</v>
      </c>
      <c r="D63" s="4" t="s">
        <v>187</v>
      </c>
      <c r="E63" s="4" t="s">
        <v>9</v>
      </c>
      <c r="F63" s="15" t="s">
        <v>191</v>
      </c>
      <c r="G63" s="16" t="s">
        <v>10</v>
      </c>
    </row>
    <row r="64" spans="1:7" ht="30" x14ac:dyDescent="0.25">
      <c r="A64" s="14"/>
      <c r="B64" s="15"/>
      <c r="C64" s="15"/>
      <c r="D64" s="4" t="s">
        <v>11</v>
      </c>
      <c r="E64" s="4" t="s">
        <v>190</v>
      </c>
      <c r="F64" s="15"/>
      <c r="G64" s="16"/>
    </row>
    <row r="65" spans="1:7" ht="45" x14ac:dyDescent="0.25">
      <c r="A65" s="14" t="s">
        <v>192</v>
      </c>
      <c r="B65" s="15" t="s">
        <v>193</v>
      </c>
      <c r="C65" s="15" t="s">
        <v>8</v>
      </c>
      <c r="D65" s="4" t="s">
        <v>187</v>
      </c>
      <c r="E65" s="4" t="s">
        <v>9</v>
      </c>
      <c r="F65" s="15" t="s">
        <v>191</v>
      </c>
      <c r="G65" s="16" t="s">
        <v>10</v>
      </c>
    </row>
    <row r="66" spans="1:7" ht="45" x14ac:dyDescent="0.25">
      <c r="A66" s="14"/>
      <c r="B66" s="15"/>
      <c r="C66" s="15"/>
      <c r="D66" s="4" t="s">
        <v>194</v>
      </c>
      <c r="E66" s="4" t="s">
        <v>190</v>
      </c>
      <c r="F66" s="15"/>
      <c r="G66" s="16"/>
    </row>
    <row r="67" spans="1:7" ht="45" x14ac:dyDescent="0.25">
      <c r="A67" s="14" t="s">
        <v>202</v>
      </c>
      <c r="B67" s="15" t="s">
        <v>198</v>
      </c>
      <c r="C67" s="15" t="s">
        <v>8</v>
      </c>
      <c r="D67" s="4" t="s">
        <v>187</v>
      </c>
      <c r="E67" s="4" t="s">
        <v>9</v>
      </c>
      <c r="F67" s="15" t="s">
        <v>197</v>
      </c>
      <c r="G67" s="16" t="s">
        <v>10</v>
      </c>
    </row>
    <row r="68" spans="1:7" ht="30" x14ac:dyDescent="0.25">
      <c r="A68" s="14"/>
      <c r="B68" s="15"/>
      <c r="C68" s="15"/>
      <c r="D68" s="4" t="s">
        <v>195</v>
      </c>
      <c r="E68" s="4" t="s">
        <v>196</v>
      </c>
      <c r="F68" s="15"/>
      <c r="G68" s="16"/>
    </row>
    <row r="69" spans="1:7" ht="45" x14ac:dyDescent="0.25">
      <c r="A69" s="14" t="s">
        <v>203</v>
      </c>
      <c r="B69" s="15" t="s">
        <v>199</v>
      </c>
      <c r="C69" s="15" t="s">
        <v>8</v>
      </c>
      <c r="D69" s="4" t="s">
        <v>187</v>
      </c>
      <c r="E69" s="4" t="s">
        <v>9</v>
      </c>
      <c r="F69" s="15" t="s">
        <v>201</v>
      </c>
      <c r="G69" s="16" t="s">
        <v>10</v>
      </c>
    </row>
    <row r="70" spans="1:7" ht="45" x14ac:dyDescent="0.25">
      <c r="A70" s="14"/>
      <c r="B70" s="15"/>
      <c r="C70" s="15"/>
      <c r="D70" s="4" t="s">
        <v>143</v>
      </c>
      <c r="E70" s="4" t="s">
        <v>200</v>
      </c>
      <c r="F70" s="15"/>
      <c r="G70" s="16"/>
    </row>
    <row r="71" spans="1:7" ht="45" x14ac:dyDescent="0.25">
      <c r="A71" s="14" t="s">
        <v>208</v>
      </c>
      <c r="B71" s="15" t="s">
        <v>204</v>
      </c>
      <c r="C71" s="15" t="s">
        <v>8</v>
      </c>
      <c r="D71" s="4" t="s">
        <v>187</v>
      </c>
      <c r="E71" s="4" t="s">
        <v>9</v>
      </c>
      <c r="F71" s="15" t="s">
        <v>207</v>
      </c>
      <c r="G71" s="16" t="s">
        <v>10</v>
      </c>
    </row>
    <row r="72" spans="1:7" ht="30" x14ac:dyDescent="0.25">
      <c r="A72" s="14"/>
      <c r="B72" s="15"/>
      <c r="C72" s="15"/>
      <c r="D72" s="4" t="s">
        <v>205</v>
      </c>
      <c r="E72" s="4" t="s">
        <v>206</v>
      </c>
      <c r="F72" s="15"/>
      <c r="G72" s="16"/>
    </row>
    <row r="73" spans="1:7" ht="46.5" x14ac:dyDescent="0.25">
      <c r="A73" s="14" t="s">
        <v>213</v>
      </c>
      <c r="B73" s="15" t="s">
        <v>209</v>
      </c>
      <c r="C73" s="15" t="s">
        <v>8</v>
      </c>
      <c r="D73" s="4" t="s">
        <v>211</v>
      </c>
      <c r="E73" s="4" t="s">
        <v>9</v>
      </c>
      <c r="F73" s="15" t="s">
        <v>212</v>
      </c>
      <c r="G73" s="16" t="s">
        <v>10</v>
      </c>
    </row>
    <row r="74" spans="1:7" ht="30" x14ac:dyDescent="0.25">
      <c r="A74" s="14"/>
      <c r="B74" s="15"/>
      <c r="C74" s="15"/>
      <c r="D74" s="4" t="s">
        <v>11</v>
      </c>
      <c r="E74" s="4" t="s">
        <v>210</v>
      </c>
      <c r="F74" s="15"/>
      <c r="G74" s="16"/>
    </row>
    <row r="75" spans="1:7" ht="46.5" x14ac:dyDescent="0.25">
      <c r="A75" s="14" t="s">
        <v>216</v>
      </c>
      <c r="B75" s="15" t="s">
        <v>214</v>
      </c>
      <c r="C75" s="15" t="s">
        <v>8</v>
      </c>
      <c r="D75" s="4" t="s">
        <v>211</v>
      </c>
      <c r="E75" s="4" t="s">
        <v>9</v>
      </c>
      <c r="F75" s="15" t="s">
        <v>212</v>
      </c>
      <c r="G75" s="16" t="s">
        <v>10</v>
      </c>
    </row>
    <row r="76" spans="1:7" ht="30" x14ac:dyDescent="0.25">
      <c r="A76" s="14"/>
      <c r="B76" s="15"/>
      <c r="C76" s="15"/>
      <c r="D76" s="4" t="s">
        <v>215</v>
      </c>
      <c r="E76" s="4" t="s">
        <v>210</v>
      </c>
      <c r="F76" s="15"/>
      <c r="G76" s="16"/>
    </row>
    <row r="77" spans="1:7" ht="46.5" x14ac:dyDescent="0.25">
      <c r="A77" s="14" t="s">
        <v>221</v>
      </c>
      <c r="B77" s="15" t="s">
        <v>217</v>
      </c>
      <c r="C77" s="15" t="s">
        <v>8</v>
      </c>
      <c r="D77" s="4" t="s">
        <v>211</v>
      </c>
      <c r="E77" s="4" t="s">
        <v>9</v>
      </c>
      <c r="F77" s="15" t="s">
        <v>220</v>
      </c>
      <c r="G77" s="16" t="s">
        <v>10</v>
      </c>
    </row>
    <row r="78" spans="1:7" ht="30" x14ac:dyDescent="0.25">
      <c r="A78" s="14"/>
      <c r="B78" s="15"/>
      <c r="C78" s="15"/>
      <c r="D78" s="4" t="s">
        <v>218</v>
      </c>
      <c r="E78" s="4" t="s">
        <v>219</v>
      </c>
      <c r="F78" s="15"/>
      <c r="G78" s="16"/>
    </row>
    <row r="79" spans="1:7" ht="46.5" x14ac:dyDescent="0.25">
      <c r="A79" s="14" t="s">
        <v>229</v>
      </c>
      <c r="B79" s="15" t="s">
        <v>230</v>
      </c>
      <c r="C79" s="15" t="s">
        <v>8</v>
      </c>
      <c r="D79" s="4" t="s">
        <v>211</v>
      </c>
      <c r="E79" s="4" t="s">
        <v>9</v>
      </c>
      <c r="F79" s="15" t="s">
        <v>223</v>
      </c>
      <c r="G79" s="16" t="s">
        <v>10</v>
      </c>
    </row>
    <row r="80" spans="1:7" ht="60" x14ac:dyDescent="0.25">
      <c r="A80" s="14"/>
      <c r="B80" s="15"/>
      <c r="C80" s="15"/>
      <c r="D80" s="4" t="s">
        <v>222</v>
      </c>
      <c r="E80" s="4" t="s">
        <v>224</v>
      </c>
      <c r="F80" s="15"/>
      <c r="G80" s="16"/>
    </row>
    <row r="81" spans="1:7" ht="46.5" x14ac:dyDescent="0.25">
      <c r="A81" s="14" t="s">
        <v>231</v>
      </c>
      <c r="B81" s="15" t="s">
        <v>225</v>
      </c>
      <c r="C81" s="15" t="s">
        <v>8</v>
      </c>
      <c r="D81" s="4" t="s">
        <v>211</v>
      </c>
      <c r="E81" s="4" t="s">
        <v>9</v>
      </c>
      <c r="F81" s="15" t="s">
        <v>228</v>
      </c>
      <c r="G81" s="16" t="s">
        <v>10</v>
      </c>
    </row>
    <row r="82" spans="1:7" ht="30" x14ac:dyDescent="0.25">
      <c r="A82" s="14"/>
      <c r="B82" s="15"/>
      <c r="C82" s="15"/>
      <c r="D82" s="4" t="s">
        <v>226</v>
      </c>
      <c r="E82" s="4" t="s">
        <v>227</v>
      </c>
      <c r="F82" s="15"/>
      <c r="G82" s="16"/>
    </row>
    <row r="83" spans="1:7" ht="46.5" x14ac:dyDescent="0.25">
      <c r="A83" s="14" t="s">
        <v>236</v>
      </c>
      <c r="B83" s="15" t="s">
        <v>235</v>
      </c>
      <c r="C83" s="15" t="s">
        <v>8</v>
      </c>
      <c r="D83" s="4" t="s">
        <v>211</v>
      </c>
      <c r="E83" s="4" t="s">
        <v>9</v>
      </c>
      <c r="F83" s="15" t="s">
        <v>234</v>
      </c>
      <c r="G83" s="16" t="s">
        <v>10</v>
      </c>
    </row>
    <row r="84" spans="1:7" ht="30" x14ac:dyDescent="0.25">
      <c r="A84" s="14"/>
      <c r="B84" s="15"/>
      <c r="C84" s="15"/>
      <c r="D84" s="4" t="s">
        <v>232</v>
      </c>
      <c r="E84" s="4" t="s">
        <v>233</v>
      </c>
      <c r="F84" s="15"/>
      <c r="G84" s="16"/>
    </row>
    <row r="85" spans="1:7" ht="46.5" x14ac:dyDescent="0.25">
      <c r="A85" s="14" t="s">
        <v>245</v>
      </c>
      <c r="B85" s="15" t="s">
        <v>237</v>
      </c>
      <c r="C85" s="15" t="s">
        <v>8</v>
      </c>
      <c r="D85" s="4" t="s">
        <v>211</v>
      </c>
      <c r="E85" s="4" t="s">
        <v>9</v>
      </c>
      <c r="F85" s="15" t="s">
        <v>240</v>
      </c>
      <c r="G85" s="16" t="s">
        <v>10</v>
      </c>
    </row>
    <row r="86" spans="1:7" ht="30" x14ac:dyDescent="0.25">
      <c r="A86" s="14"/>
      <c r="B86" s="15"/>
      <c r="C86" s="15"/>
      <c r="D86" s="4" t="s">
        <v>238</v>
      </c>
      <c r="E86" s="4" t="s">
        <v>239</v>
      </c>
      <c r="F86" s="15"/>
      <c r="G86" s="16"/>
    </row>
    <row r="87" spans="1:7" ht="46.5" x14ac:dyDescent="0.25">
      <c r="A87" s="14" t="s">
        <v>248</v>
      </c>
      <c r="B87" s="15" t="s">
        <v>250</v>
      </c>
      <c r="C87" s="15" t="s">
        <v>8</v>
      </c>
      <c r="D87" s="4" t="s">
        <v>211</v>
      </c>
      <c r="E87" s="4" t="s">
        <v>9</v>
      </c>
      <c r="F87" s="15" t="s">
        <v>247</v>
      </c>
      <c r="G87" s="16" t="s">
        <v>10</v>
      </c>
    </row>
    <row r="88" spans="1:7" ht="75" x14ac:dyDescent="0.25">
      <c r="A88" s="14"/>
      <c r="B88" s="15"/>
      <c r="C88" s="15"/>
      <c r="D88" s="4" t="s">
        <v>249</v>
      </c>
      <c r="E88" s="4" t="s">
        <v>246</v>
      </c>
      <c r="F88" s="15"/>
      <c r="G88" s="16"/>
    </row>
    <row r="89" spans="1:7" ht="46.5" x14ac:dyDescent="0.25">
      <c r="A89" s="14" t="s">
        <v>258</v>
      </c>
      <c r="B89" s="15" t="s">
        <v>251</v>
      </c>
      <c r="C89" s="15" t="s">
        <v>8</v>
      </c>
      <c r="D89" s="4" t="s">
        <v>211</v>
      </c>
      <c r="E89" s="4" t="s">
        <v>9</v>
      </c>
      <c r="F89" s="15" t="s">
        <v>253</v>
      </c>
      <c r="G89" s="16" t="s">
        <v>10</v>
      </c>
    </row>
    <row r="90" spans="1:7" ht="30" x14ac:dyDescent="0.25">
      <c r="A90" s="14"/>
      <c r="B90" s="15"/>
      <c r="C90" s="15"/>
      <c r="D90" s="4" t="s">
        <v>11</v>
      </c>
      <c r="E90" s="4" t="s">
        <v>252</v>
      </c>
      <c r="F90" s="15"/>
      <c r="G90" s="16"/>
    </row>
    <row r="91" spans="1:7" ht="46.5" x14ac:dyDescent="0.25">
      <c r="A91" s="14" t="s">
        <v>263</v>
      </c>
      <c r="B91" s="15" t="s">
        <v>254</v>
      </c>
      <c r="C91" s="15" t="s">
        <v>8</v>
      </c>
      <c r="D91" s="4" t="s">
        <v>255</v>
      </c>
      <c r="E91" s="4" t="s">
        <v>9</v>
      </c>
      <c r="F91" s="15" t="s">
        <v>257</v>
      </c>
      <c r="G91" s="16" t="s">
        <v>264</v>
      </c>
    </row>
    <row r="92" spans="1:7" ht="30" x14ac:dyDescent="0.25">
      <c r="A92" s="14"/>
      <c r="B92" s="15"/>
      <c r="C92" s="15"/>
      <c r="D92" s="4" t="s">
        <v>11</v>
      </c>
      <c r="E92" s="4" t="s">
        <v>256</v>
      </c>
      <c r="F92" s="15"/>
      <c r="G92" s="16"/>
    </row>
    <row r="93" spans="1:7" ht="46.5" x14ac:dyDescent="0.25">
      <c r="A93" s="14" t="s">
        <v>265</v>
      </c>
      <c r="B93" s="15" t="s">
        <v>262</v>
      </c>
      <c r="C93" s="15" t="s">
        <v>8</v>
      </c>
      <c r="D93" s="4" t="s">
        <v>259</v>
      </c>
      <c r="E93" s="4" t="s">
        <v>9</v>
      </c>
      <c r="F93" s="15" t="s">
        <v>261</v>
      </c>
      <c r="G93" s="16" t="s">
        <v>10</v>
      </c>
    </row>
    <row r="94" spans="1:7" ht="30" x14ac:dyDescent="0.25">
      <c r="A94" s="14"/>
      <c r="B94" s="15"/>
      <c r="C94" s="15"/>
      <c r="D94" s="4" t="s">
        <v>11</v>
      </c>
      <c r="E94" s="4" t="s">
        <v>260</v>
      </c>
      <c r="F94" s="15"/>
      <c r="G94" s="16"/>
    </row>
  </sheetData>
  <mergeCells count="230">
    <mergeCell ref="A93:A94"/>
    <mergeCell ref="B93:B94"/>
    <mergeCell ref="C93:C94"/>
    <mergeCell ref="F93:F94"/>
    <mergeCell ref="G93:G94"/>
    <mergeCell ref="A91:A92"/>
    <mergeCell ref="B91:B92"/>
    <mergeCell ref="C91:C92"/>
    <mergeCell ref="F91:F92"/>
    <mergeCell ref="G91:G92"/>
    <mergeCell ref="A89:A90"/>
    <mergeCell ref="B89:B90"/>
    <mergeCell ref="C89:C90"/>
    <mergeCell ref="F89:F90"/>
    <mergeCell ref="G89:G90"/>
    <mergeCell ref="A87:A88"/>
    <mergeCell ref="B87:B88"/>
    <mergeCell ref="C87:C88"/>
    <mergeCell ref="F87:F88"/>
    <mergeCell ref="G87:G88"/>
    <mergeCell ref="A85:A86"/>
    <mergeCell ref="B85:B86"/>
    <mergeCell ref="C85:C86"/>
    <mergeCell ref="F85:F86"/>
    <mergeCell ref="G85:G86"/>
    <mergeCell ref="A83:A84"/>
    <mergeCell ref="B83:B84"/>
    <mergeCell ref="C83:C84"/>
    <mergeCell ref="F83:F84"/>
    <mergeCell ref="G83:G84"/>
    <mergeCell ref="A81:A82"/>
    <mergeCell ref="B81:B82"/>
    <mergeCell ref="C81:C82"/>
    <mergeCell ref="F81:F82"/>
    <mergeCell ref="G81:G82"/>
    <mergeCell ref="A79:A80"/>
    <mergeCell ref="B79:B80"/>
    <mergeCell ref="C79:C80"/>
    <mergeCell ref="F79:F80"/>
    <mergeCell ref="G79:G80"/>
    <mergeCell ref="A77:A78"/>
    <mergeCell ref="B77:B78"/>
    <mergeCell ref="C77:C78"/>
    <mergeCell ref="F77:F78"/>
    <mergeCell ref="G77:G78"/>
    <mergeCell ref="A75:A76"/>
    <mergeCell ref="B75:B76"/>
    <mergeCell ref="C75:C76"/>
    <mergeCell ref="F75:F76"/>
    <mergeCell ref="G75:G76"/>
    <mergeCell ref="A73:A74"/>
    <mergeCell ref="B73:B74"/>
    <mergeCell ref="C73:C74"/>
    <mergeCell ref="F73:F74"/>
    <mergeCell ref="G73:G74"/>
    <mergeCell ref="A71:A72"/>
    <mergeCell ref="B71:B72"/>
    <mergeCell ref="C71:C72"/>
    <mergeCell ref="F71:F72"/>
    <mergeCell ref="G71:G72"/>
    <mergeCell ref="A69:A70"/>
    <mergeCell ref="B69:B70"/>
    <mergeCell ref="C69:C70"/>
    <mergeCell ref="F69:F70"/>
    <mergeCell ref="G69:G70"/>
    <mergeCell ref="A67:A68"/>
    <mergeCell ref="B67:B68"/>
    <mergeCell ref="C67:C68"/>
    <mergeCell ref="F67:F68"/>
    <mergeCell ref="G67:G68"/>
    <mergeCell ref="A65:A66"/>
    <mergeCell ref="B65:B66"/>
    <mergeCell ref="C65:C66"/>
    <mergeCell ref="F65:F66"/>
    <mergeCell ref="G65:G66"/>
    <mergeCell ref="A63:A64"/>
    <mergeCell ref="B63:B64"/>
    <mergeCell ref="C63:C64"/>
    <mergeCell ref="F63:F64"/>
    <mergeCell ref="G63:G64"/>
    <mergeCell ref="A61:A62"/>
    <mergeCell ref="B61:B62"/>
    <mergeCell ref="C61:C62"/>
    <mergeCell ref="F61:F62"/>
    <mergeCell ref="G61:G62"/>
    <mergeCell ref="A59:A60"/>
    <mergeCell ref="B59:B60"/>
    <mergeCell ref="C59:C60"/>
    <mergeCell ref="F59:F60"/>
    <mergeCell ref="G59:G60"/>
    <mergeCell ref="A57:A58"/>
    <mergeCell ref="B57:B58"/>
    <mergeCell ref="C57:C58"/>
    <mergeCell ref="F57:F58"/>
    <mergeCell ref="G57:G58"/>
    <mergeCell ref="A55:A56"/>
    <mergeCell ref="B55:B56"/>
    <mergeCell ref="C55:C56"/>
    <mergeCell ref="F55:F56"/>
    <mergeCell ref="G55:G56"/>
    <mergeCell ref="A53:A54"/>
    <mergeCell ref="B53:B54"/>
    <mergeCell ref="C53:C54"/>
    <mergeCell ref="F53:F54"/>
    <mergeCell ref="G53:G54"/>
    <mergeCell ref="A51:A52"/>
    <mergeCell ref="B51:B52"/>
    <mergeCell ref="C51:C52"/>
    <mergeCell ref="F51:F52"/>
    <mergeCell ref="G51:G52"/>
    <mergeCell ref="A49:A50"/>
    <mergeCell ref="B49:B50"/>
    <mergeCell ref="C49:C50"/>
    <mergeCell ref="F49:F50"/>
    <mergeCell ref="G49:G50"/>
    <mergeCell ref="A47:A48"/>
    <mergeCell ref="B47:B48"/>
    <mergeCell ref="C47:C48"/>
    <mergeCell ref="F47:F48"/>
    <mergeCell ref="G47:G48"/>
    <mergeCell ref="A45:A46"/>
    <mergeCell ref="B45:B46"/>
    <mergeCell ref="C45:C46"/>
    <mergeCell ref="F45:F46"/>
    <mergeCell ref="G45:G46"/>
    <mergeCell ref="A43:A44"/>
    <mergeCell ref="B43:B44"/>
    <mergeCell ref="C43:C44"/>
    <mergeCell ref="F43:F44"/>
    <mergeCell ref="G43:G44"/>
    <mergeCell ref="A41:A42"/>
    <mergeCell ref="B41:B42"/>
    <mergeCell ref="C41:C42"/>
    <mergeCell ref="F41:F42"/>
    <mergeCell ref="G41:G42"/>
    <mergeCell ref="A39:A40"/>
    <mergeCell ref="B39:B40"/>
    <mergeCell ref="C39:C40"/>
    <mergeCell ref="F39:F40"/>
    <mergeCell ref="G39:G40"/>
    <mergeCell ref="A37:A38"/>
    <mergeCell ref="B37:B38"/>
    <mergeCell ref="C37:C38"/>
    <mergeCell ref="F37:F38"/>
    <mergeCell ref="G37:G38"/>
    <mergeCell ref="A35:A36"/>
    <mergeCell ref="B35:B36"/>
    <mergeCell ref="C35:C36"/>
    <mergeCell ref="F35:F36"/>
    <mergeCell ref="G35:G36"/>
    <mergeCell ref="A33:A34"/>
    <mergeCell ref="B33:B34"/>
    <mergeCell ref="C33:C34"/>
    <mergeCell ref="F33:F34"/>
    <mergeCell ref="G33:G34"/>
    <mergeCell ref="A27:A28"/>
    <mergeCell ref="B27:B28"/>
    <mergeCell ref="C27:C28"/>
    <mergeCell ref="F27:F28"/>
    <mergeCell ref="G27:G28"/>
    <mergeCell ref="A29:A30"/>
    <mergeCell ref="B29:B30"/>
    <mergeCell ref="C29:C30"/>
    <mergeCell ref="F29:F30"/>
    <mergeCell ref="G29:G30"/>
    <mergeCell ref="A23:A24"/>
    <mergeCell ref="B23:B24"/>
    <mergeCell ref="C23:C24"/>
    <mergeCell ref="F23:F24"/>
    <mergeCell ref="G23:G24"/>
    <mergeCell ref="A25:A26"/>
    <mergeCell ref="B25:B26"/>
    <mergeCell ref="C25:C26"/>
    <mergeCell ref="F25:F26"/>
    <mergeCell ref="G25:G26"/>
    <mergeCell ref="A21:A22"/>
    <mergeCell ref="B21:B22"/>
    <mergeCell ref="C21:C22"/>
    <mergeCell ref="F21:F22"/>
    <mergeCell ref="G21:G22"/>
    <mergeCell ref="A17:A18"/>
    <mergeCell ref="B17:B18"/>
    <mergeCell ref="C17:C18"/>
    <mergeCell ref="F17:F18"/>
    <mergeCell ref="G17:G18"/>
    <mergeCell ref="A19:A20"/>
    <mergeCell ref="B19:B20"/>
    <mergeCell ref="C19:C20"/>
    <mergeCell ref="F19:F20"/>
    <mergeCell ref="G19:G20"/>
    <mergeCell ref="A13:A14"/>
    <mergeCell ref="B13:B14"/>
    <mergeCell ref="C13:C14"/>
    <mergeCell ref="F13:F14"/>
    <mergeCell ref="G13:G14"/>
    <mergeCell ref="A15:A16"/>
    <mergeCell ref="B15:B16"/>
    <mergeCell ref="C15:C16"/>
    <mergeCell ref="F15:F16"/>
    <mergeCell ref="G15:G16"/>
    <mergeCell ref="A9:A10"/>
    <mergeCell ref="B9:B10"/>
    <mergeCell ref="C9:C10"/>
    <mergeCell ref="F9:F10"/>
    <mergeCell ref="G9:G10"/>
    <mergeCell ref="A11:A12"/>
    <mergeCell ref="B11:B12"/>
    <mergeCell ref="C11:C12"/>
    <mergeCell ref="F11:F12"/>
    <mergeCell ref="G11:G12"/>
    <mergeCell ref="A7:A8"/>
    <mergeCell ref="B7:B8"/>
    <mergeCell ref="C7:C8"/>
    <mergeCell ref="F7:F8"/>
    <mergeCell ref="G7:G8"/>
    <mergeCell ref="A2:A3"/>
    <mergeCell ref="B2:B3"/>
    <mergeCell ref="C2:C3"/>
    <mergeCell ref="F2:F3"/>
    <mergeCell ref="G2:G3"/>
    <mergeCell ref="A4:A6"/>
    <mergeCell ref="B4:B6"/>
    <mergeCell ref="C4:C6"/>
    <mergeCell ref="F4:F6"/>
    <mergeCell ref="G4:G6"/>
    <mergeCell ref="A31:A32"/>
    <mergeCell ref="B31:B32"/>
    <mergeCell ref="C31:C32"/>
    <mergeCell ref="F31:F32"/>
    <mergeCell ref="G31:G3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DD1C66-7C95-4417-BC35-1A8FFA3BCB17}">
  <dimension ref="A1:H47"/>
  <sheetViews>
    <sheetView topLeftCell="A31" workbookViewId="0">
      <selection activeCell="H54" sqref="H54"/>
    </sheetView>
  </sheetViews>
  <sheetFormatPr defaultRowHeight="15" x14ac:dyDescent="0.25"/>
  <cols>
    <col min="1" max="1" width="12.7109375" customWidth="1"/>
    <col min="2" max="8" width="25.7109375" customWidth="1"/>
  </cols>
  <sheetData>
    <row r="1" spans="1:8" ht="45" x14ac:dyDescent="0.25">
      <c r="A1" s="6" t="s">
        <v>32</v>
      </c>
      <c r="B1" s="6" t="s">
        <v>33</v>
      </c>
      <c r="C1" s="6" t="s">
        <v>34</v>
      </c>
      <c r="D1" s="7" t="s">
        <v>35</v>
      </c>
      <c r="E1" s="7" t="s">
        <v>0</v>
      </c>
      <c r="F1" s="7" t="s">
        <v>36</v>
      </c>
      <c r="G1" s="7" t="s">
        <v>37</v>
      </c>
      <c r="H1" s="6" t="s">
        <v>38</v>
      </c>
    </row>
    <row r="2" spans="1:8" ht="15" customHeight="1" x14ac:dyDescent="0.25">
      <c r="A2" s="19" t="s">
        <v>39</v>
      </c>
      <c r="B2" s="17">
        <v>46294</v>
      </c>
      <c r="C2" s="21" t="s">
        <v>43</v>
      </c>
      <c r="D2" s="23" t="s">
        <v>40</v>
      </c>
      <c r="E2" s="10" t="str">
        <f>HYPERLINK("#'Test Cases'!A2", "TC-001")</f>
        <v>TC-001</v>
      </c>
      <c r="F2" s="8" t="s">
        <v>41</v>
      </c>
      <c r="G2" s="9"/>
      <c r="H2" s="9"/>
    </row>
    <row r="3" spans="1:8" ht="15" customHeight="1" x14ac:dyDescent="0.25">
      <c r="A3" s="20"/>
      <c r="B3" s="18"/>
      <c r="C3" s="22"/>
      <c r="D3" s="24"/>
      <c r="E3" s="10" t="str">
        <f>HYPERLINK("#'Test Cases'!A4", "TC-002")</f>
        <v>TC-002</v>
      </c>
      <c r="F3" s="8" t="s">
        <v>41</v>
      </c>
      <c r="G3" s="9"/>
      <c r="H3" s="9"/>
    </row>
    <row r="4" spans="1:8" ht="15" customHeight="1" x14ac:dyDescent="0.25">
      <c r="A4" s="20"/>
      <c r="B4" s="18"/>
      <c r="C4" s="22"/>
      <c r="D4" s="24"/>
      <c r="E4" s="10" t="str">
        <f>HYPERLINK("#'Test Cases'!A7", "TC-003")</f>
        <v>TC-003</v>
      </c>
      <c r="F4" s="8" t="s">
        <v>41</v>
      </c>
      <c r="G4" s="9"/>
      <c r="H4" s="9"/>
    </row>
    <row r="5" spans="1:8" ht="15" customHeight="1" x14ac:dyDescent="0.25">
      <c r="A5" s="20"/>
      <c r="B5" s="18"/>
      <c r="C5" s="22"/>
      <c r="D5" s="24"/>
      <c r="E5" s="10" t="str">
        <f>HYPERLINK("#'Test Cases'!A9", "TC-004")</f>
        <v>TC-004</v>
      </c>
      <c r="F5" s="8" t="s">
        <v>41</v>
      </c>
      <c r="G5" s="9"/>
      <c r="H5" s="9"/>
    </row>
    <row r="6" spans="1:8" ht="15" customHeight="1" x14ac:dyDescent="0.25">
      <c r="A6" s="20"/>
      <c r="B6" s="18"/>
      <c r="C6" s="22"/>
      <c r="D6" s="24"/>
      <c r="E6" s="10" t="str">
        <f>HYPERLINK("#'Test Cases'!A11", "TC-005")</f>
        <v>TC-005</v>
      </c>
      <c r="F6" s="8" t="s">
        <v>41</v>
      </c>
      <c r="G6" s="9"/>
      <c r="H6" s="9"/>
    </row>
    <row r="7" spans="1:8" ht="15" customHeight="1" x14ac:dyDescent="0.25">
      <c r="A7" s="20"/>
      <c r="B7" s="18"/>
      <c r="C7" s="22"/>
      <c r="D7" s="24"/>
      <c r="E7" s="10" t="str">
        <f>HYPERLINK("#'Test Cases'!A13", "TC-006")</f>
        <v>TC-006</v>
      </c>
      <c r="F7" s="8" t="s">
        <v>41</v>
      </c>
      <c r="G7" s="9"/>
      <c r="H7" s="9"/>
    </row>
    <row r="8" spans="1:8" ht="15" customHeight="1" x14ac:dyDescent="0.25">
      <c r="A8" s="20"/>
      <c r="B8" s="18"/>
      <c r="C8" s="22"/>
      <c r="D8" s="24"/>
      <c r="E8" s="10" t="str">
        <f>HYPERLINK("#'Test Cases'!A15", "TC-007")</f>
        <v>TC-007</v>
      </c>
      <c r="F8" s="8" t="s">
        <v>41</v>
      </c>
      <c r="G8" s="9"/>
      <c r="H8" s="9"/>
    </row>
    <row r="9" spans="1:8" ht="15" customHeight="1" x14ac:dyDescent="0.25">
      <c r="A9" s="20"/>
      <c r="B9" s="18"/>
      <c r="C9" s="22"/>
      <c r="D9" s="24"/>
      <c r="E9" s="10" t="str">
        <f>HYPERLINK("#'Test Cases'!A17", "TC-008")</f>
        <v>TC-008</v>
      </c>
      <c r="F9" s="8" t="s">
        <v>41</v>
      </c>
      <c r="G9" s="9"/>
      <c r="H9" s="9"/>
    </row>
    <row r="10" spans="1:8" ht="15" customHeight="1" x14ac:dyDescent="0.25">
      <c r="A10" s="20"/>
      <c r="B10" s="18"/>
      <c r="C10" s="22"/>
      <c r="D10" s="24"/>
      <c r="E10" s="10" t="str">
        <f>HYPERLINK("#'Test Cases'!A19", "TC-009")</f>
        <v>TC-009</v>
      </c>
      <c r="F10" s="8" t="s">
        <v>41</v>
      </c>
      <c r="G10" s="9"/>
      <c r="H10" s="9"/>
    </row>
    <row r="11" spans="1:8" ht="15" customHeight="1" x14ac:dyDescent="0.25">
      <c r="A11" s="20"/>
      <c r="B11" s="18"/>
      <c r="C11" s="22"/>
      <c r="D11" s="24"/>
      <c r="E11" s="10" t="str">
        <f>HYPERLINK("#'Test Cases'!A21", "TC-010")</f>
        <v>TC-010</v>
      </c>
      <c r="F11" s="8" t="s">
        <v>41</v>
      </c>
      <c r="G11" s="9"/>
      <c r="H11" s="9"/>
    </row>
    <row r="12" spans="1:8" ht="15" customHeight="1" x14ac:dyDescent="0.25">
      <c r="A12" s="20"/>
      <c r="B12" s="18"/>
      <c r="C12" s="22"/>
      <c r="D12" s="24"/>
      <c r="E12" s="10" t="str">
        <f>HYPERLINK("#'Test Cases'!A23", "TC-011")</f>
        <v>TC-011</v>
      </c>
      <c r="F12" s="8" t="s">
        <v>41</v>
      </c>
      <c r="G12" s="9"/>
      <c r="H12" s="9"/>
    </row>
    <row r="13" spans="1:8" ht="15" customHeight="1" x14ac:dyDescent="0.25">
      <c r="A13" s="20"/>
      <c r="B13" s="18"/>
      <c r="C13" s="22"/>
      <c r="D13" s="24"/>
      <c r="E13" s="10" t="str">
        <f>HYPERLINK("#'Test Cases'!A25", "TC-012")</f>
        <v>TC-012</v>
      </c>
      <c r="F13" s="8" t="s">
        <v>41</v>
      </c>
      <c r="G13" s="9"/>
      <c r="H13" s="9"/>
    </row>
    <row r="14" spans="1:8" ht="15" customHeight="1" x14ac:dyDescent="0.25">
      <c r="A14" s="20"/>
      <c r="B14" s="18"/>
      <c r="C14" s="22"/>
      <c r="D14" s="24"/>
      <c r="E14" s="10" t="str">
        <f>HYPERLINK("#'Test Cases'!A27", "TC-013")</f>
        <v>TC-013</v>
      </c>
      <c r="F14" s="8" t="s">
        <v>41</v>
      </c>
      <c r="G14" s="27"/>
      <c r="H14" s="9"/>
    </row>
    <row r="15" spans="1:8" ht="15" customHeight="1" x14ac:dyDescent="0.25">
      <c r="A15" s="20"/>
      <c r="B15" s="18"/>
      <c r="C15" s="22"/>
      <c r="D15" s="24"/>
      <c r="E15" s="10" t="str">
        <f>HYPERLINK("#'Test Cases'!A29", "TC-014")</f>
        <v>TC-014</v>
      </c>
      <c r="F15" s="25" t="s">
        <v>41</v>
      </c>
      <c r="G15" s="28"/>
      <c r="H15" s="31"/>
    </row>
    <row r="16" spans="1:8" ht="60.75" x14ac:dyDescent="0.25">
      <c r="A16" s="20"/>
      <c r="B16" s="18"/>
      <c r="C16" s="22"/>
      <c r="D16" s="24"/>
      <c r="E16" s="10" t="str">
        <f>HYPERLINK("#'Test Cases'!A31", "TC-015")</f>
        <v>TC-015</v>
      </c>
      <c r="F16" s="26" t="s">
        <v>108</v>
      </c>
      <c r="G16" s="29" t="s">
        <v>109</v>
      </c>
      <c r="H16" s="32" t="str">
        <f>HYPERLINK("#'Bug Reports'!A2", "BR-001")</f>
        <v>BR-001</v>
      </c>
    </row>
    <row r="17" spans="1:8" x14ac:dyDescent="0.25">
      <c r="A17" s="20"/>
      <c r="B17" s="18"/>
      <c r="C17" s="22"/>
      <c r="D17" s="24"/>
      <c r="E17" s="10" t="str">
        <f>HYPERLINK("#'Test Cases'!A33", "TC-016")</f>
        <v>TC-016</v>
      </c>
      <c r="F17" s="25" t="s">
        <v>41</v>
      </c>
      <c r="G17" s="28"/>
      <c r="H17" s="28"/>
    </row>
    <row r="18" spans="1:8" x14ac:dyDescent="0.25">
      <c r="A18" s="20"/>
      <c r="B18" s="18"/>
      <c r="C18" s="22"/>
      <c r="D18" s="24"/>
      <c r="E18" s="10" t="str">
        <f>HYPERLINK("#'Test Cases'!A35", "TC-017")</f>
        <v>TC-017</v>
      </c>
      <c r="F18" s="25" t="s">
        <v>41</v>
      </c>
      <c r="G18" s="28"/>
      <c r="H18" s="28"/>
    </row>
    <row r="19" spans="1:8" x14ac:dyDescent="0.25">
      <c r="A19" s="20"/>
      <c r="B19" s="18"/>
      <c r="C19" s="22"/>
      <c r="D19" s="24"/>
      <c r="E19" s="10" t="str">
        <f>HYPERLINK("#'Test Cases'!A37", "TC-018")</f>
        <v>TC-018</v>
      </c>
      <c r="F19" s="25" t="s">
        <v>41</v>
      </c>
      <c r="G19" s="28"/>
      <c r="H19" s="28"/>
    </row>
    <row r="20" spans="1:8" x14ac:dyDescent="0.25">
      <c r="A20" s="20"/>
      <c r="B20" s="18"/>
      <c r="C20" s="22"/>
      <c r="D20" s="24"/>
      <c r="E20" s="10" t="str">
        <f>HYPERLINK("#'Test Cases'!A39", "TC-019")</f>
        <v>TC-019</v>
      </c>
      <c r="F20" s="25" t="s">
        <v>41</v>
      </c>
      <c r="G20" s="28"/>
      <c r="H20" s="28"/>
    </row>
    <row r="21" spans="1:8" x14ac:dyDescent="0.25">
      <c r="A21" s="20"/>
      <c r="B21" s="18"/>
      <c r="C21" s="22"/>
      <c r="D21" s="24"/>
      <c r="E21" s="10" t="str">
        <f>HYPERLINK("#'Test Cases'!A41", "TC-020")</f>
        <v>TC-020</v>
      </c>
      <c r="F21" s="25" t="s">
        <v>41</v>
      </c>
      <c r="G21" s="28"/>
      <c r="H21" s="28"/>
    </row>
    <row r="22" spans="1:8" x14ac:dyDescent="0.25">
      <c r="A22" s="20"/>
      <c r="B22" s="18"/>
      <c r="C22" s="22"/>
      <c r="D22" s="24"/>
      <c r="E22" s="10" t="str">
        <f>HYPERLINK("#'Test Cases'!A43", "TC-021")</f>
        <v>TC-021</v>
      </c>
      <c r="F22" s="25" t="s">
        <v>41</v>
      </c>
      <c r="G22" s="28"/>
      <c r="H22" s="28"/>
    </row>
    <row r="23" spans="1:8" x14ac:dyDescent="0.25">
      <c r="A23" s="20"/>
      <c r="B23" s="18"/>
      <c r="C23" s="22"/>
      <c r="D23" s="24"/>
      <c r="E23" s="10" t="str">
        <f>HYPERLINK("#'Test Cases'!A45", "TC-022")</f>
        <v>TC-022</v>
      </c>
      <c r="F23" s="25" t="s">
        <v>41</v>
      </c>
      <c r="G23" s="28"/>
      <c r="H23" s="28"/>
    </row>
    <row r="24" spans="1:8" x14ac:dyDescent="0.25">
      <c r="A24" s="20"/>
      <c r="B24" s="18"/>
      <c r="C24" s="22"/>
      <c r="D24" s="24"/>
      <c r="E24" s="10" t="str">
        <f>HYPERLINK("#'Test Cases'!A47", "TC-023")</f>
        <v>TC-023</v>
      </c>
      <c r="F24" s="25" t="s">
        <v>41</v>
      </c>
      <c r="G24" s="28"/>
      <c r="H24" s="28"/>
    </row>
    <row r="25" spans="1:8" x14ac:dyDescent="0.25">
      <c r="A25" s="20"/>
      <c r="B25" s="18"/>
      <c r="C25" s="22"/>
      <c r="D25" s="24"/>
      <c r="E25" s="10" t="str">
        <f>HYPERLINK("#'Test Cases'!A49", "TC-024")</f>
        <v>TC-024</v>
      </c>
      <c r="F25" s="25" t="s">
        <v>41</v>
      </c>
      <c r="G25" s="28"/>
      <c r="H25" s="28"/>
    </row>
    <row r="26" spans="1:8" x14ac:dyDescent="0.25">
      <c r="A26" s="20"/>
      <c r="B26" s="18"/>
      <c r="C26" s="22"/>
      <c r="D26" s="24"/>
      <c r="E26" s="10" t="str">
        <f>HYPERLINK("#'Test Cases'!A51", "TC-025")</f>
        <v>TC-025</v>
      </c>
      <c r="F26" s="25" t="s">
        <v>41</v>
      </c>
      <c r="G26" s="28"/>
      <c r="H26" s="28"/>
    </row>
    <row r="27" spans="1:8" x14ac:dyDescent="0.25">
      <c r="A27" s="20"/>
      <c r="B27" s="18"/>
      <c r="C27" s="22"/>
      <c r="D27" s="24"/>
      <c r="E27" s="10" t="str">
        <f>HYPERLINK("#'Test Cases'!A53", "TC-026")</f>
        <v>TC-026</v>
      </c>
      <c r="F27" s="25" t="s">
        <v>41</v>
      </c>
      <c r="G27" s="28"/>
      <c r="H27" s="28"/>
    </row>
    <row r="28" spans="1:8" x14ac:dyDescent="0.25">
      <c r="A28" s="20"/>
      <c r="B28" s="18"/>
      <c r="C28" s="22"/>
      <c r="D28" s="24"/>
      <c r="E28" s="10" t="str">
        <f>HYPERLINK("#'Test Cases'!A55", "TC-027")</f>
        <v>TC-027</v>
      </c>
      <c r="F28" s="25" t="s">
        <v>41</v>
      </c>
      <c r="G28" s="28"/>
      <c r="H28" s="28"/>
    </row>
    <row r="29" spans="1:8" x14ac:dyDescent="0.25">
      <c r="A29" s="20"/>
      <c r="B29" s="18"/>
      <c r="C29" s="22"/>
      <c r="D29" s="24"/>
      <c r="E29" s="10" t="str">
        <f>HYPERLINK("#'Test Cases'!A57", "TC-028")</f>
        <v>TC-028</v>
      </c>
      <c r="F29" s="25" t="s">
        <v>41</v>
      </c>
      <c r="G29" s="28"/>
      <c r="H29" s="28"/>
    </row>
    <row r="30" spans="1:8" x14ac:dyDescent="0.25">
      <c r="A30" s="20"/>
      <c r="B30" s="18"/>
      <c r="C30" s="22"/>
      <c r="D30" s="24"/>
      <c r="E30" s="10" t="str">
        <f>HYPERLINK("#'Test Cases'!A59", "TC-029")</f>
        <v>TC-029</v>
      </c>
      <c r="F30" s="25" t="s">
        <v>41</v>
      </c>
      <c r="G30" s="28"/>
      <c r="H30" s="28"/>
    </row>
    <row r="31" spans="1:8" x14ac:dyDescent="0.25">
      <c r="A31" s="20"/>
      <c r="B31" s="18"/>
      <c r="C31" s="22"/>
      <c r="D31" s="24"/>
      <c r="E31" s="10" t="str">
        <f>HYPERLINK("#'Test Cases'!A62", "TC-030")</f>
        <v>TC-030</v>
      </c>
      <c r="F31" s="25" t="s">
        <v>41</v>
      </c>
      <c r="G31" s="28"/>
      <c r="H31" s="28"/>
    </row>
    <row r="32" spans="1:8" x14ac:dyDescent="0.25">
      <c r="A32" s="20"/>
      <c r="B32" s="18"/>
      <c r="C32" s="22"/>
      <c r="D32" s="24"/>
      <c r="E32" s="10" t="str">
        <f>HYPERLINK("#'Test Cases'!A63", "TC-031")</f>
        <v>TC-031</v>
      </c>
      <c r="F32" s="25" t="s">
        <v>41</v>
      </c>
      <c r="G32" s="28"/>
      <c r="H32" s="28"/>
    </row>
    <row r="33" spans="1:8" x14ac:dyDescent="0.25">
      <c r="A33" s="20"/>
      <c r="B33" s="18"/>
      <c r="C33" s="22"/>
      <c r="D33" s="24"/>
      <c r="E33" s="10" t="str">
        <f>HYPERLINK("#'Test Cases'!A65", "TC-032")</f>
        <v>TC-032</v>
      </c>
      <c r="F33" s="25" t="s">
        <v>41</v>
      </c>
      <c r="G33" s="28"/>
      <c r="H33" s="28"/>
    </row>
    <row r="34" spans="1:8" x14ac:dyDescent="0.25">
      <c r="A34" s="20"/>
      <c r="B34" s="18"/>
      <c r="C34" s="22"/>
      <c r="D34" s="24"/>
      <c r="E34" s="10" t="str">
        <f>HYPERLINK("#'Test Cases'!A67", "TC-033")</f>
        <v>TC-033</v>
      </c>
      <c r="F34" s="25" t="s">
        <v>41</v>
      </c>
      <c r="G34" s="28"/>
      <c r="H34" s="28"/>
    </row>
    <row r="35" spans="1:8" x14ac:dyDescent="0.25">
      <c r="A35" s="20"/>
      <c r="B35" s="18"/>
      <c r="C35" s="22"/>
      <c r="D35" s="24"/>
      <c r="E35" s="10" t="str">
        <f>HYPERLINK("#'Test Cases'!A69", "TC-034")</f>
        <v>TC-034</v>
      </c>
      <c r="F35" s="25" t="s">
        <v>41</v>
      </c>
      <c r="G35" s="28"/>
      <c r="H35" s="28"/>
    </row>
    <row r="36" spans="1:8" x14ac:dyDescent="0.25">
      <c r="A36" s="20"/>
      <c r="B36" s="18"/>
      <c r="C36" s="22"/>
      <c r="D36" s="24"/>
      <c r="E36" s="10" t="str">
        <f>HYPERLINK("#'Test Cases'!A71", "TC-035")</f>
        <v>TC-035</v>
      </c>
      <c r="F36" s="25" t="s">
        <v>41</v>
      </c>
      <c r="G36" s="28"/>
      <c r="H36" s="28"/>
    </row>
    <row r="37" spans="1:8" x14ac:dyDescent="0.25">
      <c r="A37" s="20"/>
      <c r="B37" s="18"/>
      <c r="C37" s="22"/>
      <c r="D37" s="24"/>
      <c r="E37" s="10" t="str">
        <f>HYPERLINK("#'Test Cases'!A73", "TC-036")</f>
        <v>TC-036</v>
      </c>
      <c r="F37" s="25" t="s">
        <v>41</v>
      </c>
      <c r="G37" s="28"/>
      <c r="H37" s="28"/>
    </row>
    <row r="38" spans="1:8" x14ac:dyDescent="0.25">
      <c r="A38" s="20"/>
      <c r="B38" s="18"/>
      <c r="C38" s="22"/>
      <c r="D38" s="24"/>
      <c r="E38" s="10" t="str">
        <f>HYPERLINK("#'Test Cases'!A75", "TC-037")</f>
        <v>TC-037</v>
      </c>
      <c r="F38" s="25" t="s">
        <v>41</v>
      </c>
      <c r="G38" s="28"/>
      <c r="H38" s="28"/>
    </row>
    <row r="39" spans="1:8" x14ac:dyDescent="0.25">
      <c r="A39" s="20"/>
      <c r="B39" s="18"/>
      <c r="C39" s="22"/>
      <c r="D39" s="24"/>
      <c r="E39" s="10" t="str">
        <f>HYPERLINK("#'Test Cases'!A77", "TC-038")</f>
        <v>TC-038</v>
      </c>
      <c r="F39" s="25" t="s">
        <v>41</v>
      </c>
      <c r="G39" s="28"/>
      <c r="H39" s="28"/>
    </row>
    <row r="40" spans="1:8" x14ac:dyDescent="0.25">
      <c r="A40" s="20"/>
      <c r="B40" s="18"/>
      <c r="C40" s="22"/>
      <c r="D40" s="24"/>
      <c r="E40" s="10" t="str">
        <f>HYPERLINK("#'Test Cases'!A79", "TC-039")</f>
        <v>TC-039</v>
      </c>
      <c r="F40" s="25" t="s">
        <v>41</v>
      </c>
      <c r="G40" s="28"/>
      <c r="H40" s="28"/>
    </row>
    <row r="41" spans="1:8" x14ac:dyDescent="0.25">
      <c r="A41" s="20"/>
      <c r="B41" s="18"/>
      <c r="C41" s="22"/>
      <c r="D41" s="24"/>
      <c r="E41" s="10" t="str">
        <f>HYPERLINK("#'Test Cases'!A81", "TC-040")</f>
        <v>TC-040</v>
      </c>
      <c r="F41" s="25" t="s">
        <v>41</v>
      </c>
      <c r="G41" s="28"/>
      <c r="H41" s="28"/>
    </row>
    <row r="42" spans="1:8" ht="30" x14ac:dyDescent="0.25">
      <c r="A42" s="20"/>
      <c r="B42" s="18"/>
      <c r="C42" s="22"/>
      <c r="D42" s="24"/>
      <c r="E42" s="10" t="str">
        <f>HYPERLINK("#'Test Cases'!A83", "TC-041")</f>
        <v>TC-041</v>
      </c>
      <c r="F42" s="26" t="s">
        <v>108</v>
      </c>
      <c r="G42" s="30" t="s">
        <v>241</v>
      </c>
      <c r="H42" s="32" t="str">
        <f>HYPERLINK("#'Bug Reports'!A3", "BR-002")</f>
        <v>BR-002</v>
      </c>
    </row>
    <row r="43" spans="1:8" x14ac:dyDescent="0.25">
      <c r="A43" s="20"/>
      <c r="B43" s="18"/>
      <c r="C43" s="22"/>
      <c r="D43" s="24"/>
      <c r="E43" s="10" t="str">
        <f>HYPERLINK("#'Test Cases'!A85", "TC-042")</f>
        <v>TC-042</v>
      </c>
      <c r="F43" s="25" t="s">
        <v>41</v>
      </c>
      <c r="G43" s="28"/>
      <c r="H43" s="28"/>
    </row>
    <row r="44" spans="1:8" x14ac:dyDescent="0.25">
      <c r="A44" s="20"/>
      <c r="B44" s="18"/>
      <c r="C44" s="22"/>
      <c r="D44" s="24"/>
      <c r="E44" s="10" t="str">
        <f>HYPERLINK("#'Test Cases'!A87", "TC-043")</f>
        <v>TC-043</v>
      </c>
      <c r="F44" s="25" t="s">
        <v>41</v>
      </c>
      <c r="G44" s="28"/>
      <c r="H44" s="28"/>
    </row>
    <row r="45" spans="1:8" x14ac:dyDescent="0.25">
      <c r="A45" s="20"/>
      <c r="B45" s="18"/>
      <c r="C45" s="22"/>
      <c r="D45" s="24"/>
      <c r="E45" s="10" t="str">
        <f>HYPERLINK("#'Test Cases'!A89", "TC-044")</f>
        <v>TC-044</v>
      </c>
      <c r="F45" s="25" t="s">
        <v>41</v>
      </c>
      <c r="G45" s="28"/>
      <c r="H45" s="28"/>
    </row>
    <row r="46" spans="1:8" x14ac:dyDescent="0.25">
      <c r="A46" s="20"/>
      <c r="B46" s="18"/>
      <c r="C46" s="22"/>
      <c r="D46" s="24"/>
      <c r="E46" s="10" t="str">
        <f>HYPERLINK("#'Test Cases'!A91", "TC-045")</f>
        <v>TC-045</v>
      </c>
      <c r="F46" s="25" t="s">
        <v>41</v>
      </c>
      <c r="G46" s="28"/>
      <c r="H46" s="28"/>
    </row>
    <row r="47" spans="1:8" x14ac:dyDescent="0.25">
      <c r="A47" s="20"/>
      <c r="B47" s="18"/>
      <c r="C47" s="22"/>
      <c r="D47" s="24"/>
      <c r="E47" s="10" t="str">
        <f>HYPERLINK("#'Test Cases'!A93", "TC-046")</f>
        <v>TC-046</v>
      </c>
      <c r="F47" s="25" t="s">
        <v>41</v>
      </c>
      <c r="G47" s="28"/>
      <c r="H47" s="28"/>
    </row>
  </sheetData>
  <mergeCells count="4">
    <mergeCell ref="D2:D47"/>
    <mergeCell ref="C2:C47"/>
    <mergeCell ref="B2:B47"/>
    <mergeCell ref="A2:A47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B704C0-655D-441E-B17F-AAC60306E869}">
  <dimension ref="A1:M3"/>
  <sheetViews>
    <sheetView workbookViewId="0">
      <selection activeCell="A3" sqref="A3"/>
    </sheetView>
  </sheetViews>
  <sheetFormatPr defaultRowHeight="15" x14ac:dyDescent="0.25"/>
  <cols>
    <col min="1" max="4" width="12.7109375" customWidth="1"/>
    <col min="5" max="8" width="25.7109375" customWidth="1"/>
    <col min="9" max="10" width="12.7109375" customWidth="1"/>
    <col min="11" max="12" width="20.7109375" customWidth="1"/>
    <col min="13" max="13" width="15.7109375" customWidth="1"/>
  </cols>
  <sheetData>
    <row r="1" spans="1:13" ht="60" x14ac:dyDescent="0.25">
      <c r="A1" s="6" t="s">
        <v>38</v>
      </c>
      <c r="B1" s="6" t="s">
        <v>1</v>
      </c>
      <c r="C1" s="6" t="s">
        <v>44</v>
      </c>
      <c r="D1" s="7" t="s">
        <v>32</v>
      </c>
      <c r="E1" s="7" t="s">
        <v>2</v>
      </c>
      <c r="F1" s="7" t="s">
        <v>45</v>
      </c>
      <c r="G1" s="7" t="s">
        <v>4</v>
      </c>
      <c r="H1" s="6" t="s">
        <v>46</v>
      </c>
      <c r="I1" s="6" t="s">
        <v>47</v>
      </c>
      <c r="J1" s="6" t="s">
        <v>6</v>
      </c>
      <c r="K1" s="6" t="s">
        <v>48</v>
      </c>
      <c r="L1" s="7" t="s">
        <v>49</v>
      </c>
      <c r="M1" s="7" t="s">
        <v>50</v>
      </c>
    </row>
    <row r="2" spans="1:13" ht="210" x14ac:dyDescent="0.25">
      <c r="A2" s="11" t="s">
        <v>110</v>
      </c>
      <c r="B2" s="11" t="s">
        <v>113</v>
      </c>
      <c r="C2" s="13" t="str">
        <f>HYPERLINK("#'Test Cases'!A31", "TC-015")</f>
        <v>TC-015</v>
      </c>
      <c r="D2" s="13" t="str">
        <f>HYPERLINK("#'Test run'!A2", "TR-001")</f>
        <v>TR-001</v>
      </c>
      <c r="E2" s="11" t="s">
        <v>8</v>
      </c>
      <c r="F2" s="4" t="s">
        <v>105</v>
      </c>
      <c r="G2" s="4" t="s">
        <v>106</v>
      </c>
      <c r="H2" s="11" t="s">
        <v>114</v>
      </c>
      <c r="I2" s="11" t="s">
        <v>111</v>
      </c>
      <c r="J2" s="11" t="s">
        <v>10</v>
      </c>
      <c r="K2" s="11" t="s">
        <v>112</v>
      </c>
      <c r="L2" s="11" t="s">
        <v>115</v>
      </c>
      <c r="M2" s="12">
        <v>46294</v>
      </c>
    </row>
    <row r="3" spans="1:13" ht="165" x14ac:dyDescent="0.25">
      <c r="A3" s="11" t="s">
        <v>266</v>
      </c>
      <c r="B3" s="11" t="s">
        <v>243</v>
      </c>
      <c r="C3" s="10" t="str">
        <f>HYPERLINK("#'Test Cases'!A83", "TC-041")</f>
        <v>TC-041</v>
      </c>
      <c r="D3" s="13" t="str">
        <f>HYPERLINK("#'Test run'!A2", "TR-001")</f>
        <v>TR-001</v>
      </c>
      <c r="E3" s="11" t="s">
        <v>8</v>
      </c>
      <c r="F3" s="4" t="s">
        <v>238</v>
      </c>
      <c r="G3" s="4" t="s">
        <v>239</v>
      </c>
      <c r="H3" s="4" t="s">
        <v>242</v>
      </c>
      <c r="I3" s="11" t="s">
        <v>111</v>
      </c>
      <c r="J3" s="11" t="s">
        <v>10</v>
      </c>
      <c r="K3" s="11" t="s">
        <v>112</v>
      </c>
      <c r="L3" s="11" t="s">
        <v>244</v>
      </c>
      <c r="M3" s="12">
        <v>46294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Test Cases</vt:lpstr>
      <vt:lpstr>Test run</vt:lpstr>
      <vt:lpstr>Bug Reports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Burn Neo</dc:creator>
  <cp:lastModifiedBy>Burn Neo</cp:lastModifiedBy>
  <dcterms:created xsi:type="dcterms:W3CDTF">2015-06-05T18:17:20Z</dcterms:created>
  <dcterms:modified xsi:type="dcterms:W3CDTF">2026-09-29T12:41:25Z</dcterms:modified>
</cp:coreProperties>
</file>