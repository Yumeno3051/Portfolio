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bea10542c94829a/Desktop/Работа/"/>
    </mc:Choice>
  </mc:AlternateContent>
  <xr:revisionPtr revIDLastSave="35" documentId="11_F25DC773A252ABDACC10481E791F7A445ADE58EB" xr6:coauthVersionLast="47" xr6:coauthVersionMax="47" xr10:uidLastSave="{C826A5E1-7EBF-4370-9C24-05142A011FFA}"/>
  <bookViews>
    <workbookView xWindow="-120" yWindow="-120" windowWidth="29040" windowHeight="15840" activeTab="2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3" l="1"/>
  <c r="E16" i="2"/>
  <c r="H16" i="2"/>
  <c r="D10" i="3"/>
  <c r="H14" i="2"/>
  <c r="C9" i="3"/>
  <c r="D9" i="3"/>
  <c r="H13" i="2"/>
  <c r="C8" i="3"/>
  <c r="E13" i="2"/>
  <c r="D8" i="3"/>
  <c r="H11" i="2"/>
  <c r="C6" i="3"/>
  <c r="E11" i="2"/>
  <c r="D6" i="3"/>
  <c r="C5" i="3"/>
  <c r="E10" i="2"/>
  <c r="H10" i="2"/>
  <c r="H7" i="2"/>
  <c r="H6" i="2"/>
  <c r="H2" i="2"/>
  <c r="C4" i="3"/>
  <c r="E7" i="2"/>
  <c r="C3" i="3"/>
  <c r="E6" i="2"/>
  <c r="C2" i="3"/>
  <c r="E2" i="2"/>
  <c r="E17" i="2"/>
  <c r="D5" i="3"/>
  <c r="D4" i="3"/>
  <c r="E18" i="2"/>
  <c r="D3" i="3"/>
  <c r="D2" i="3"/>
  <c r="E15" i="2"/>
  <c r="E14" i="2"/>
  <c r="E9" i="2"/>
  <c r="E8" i="2"/>
  <c r="E5" i="2"/>
  <c r="E4" i="2"/>
  <c r="E3" i="2"/>
</calcChain>
</file>

<file path=xl/sharedStrings.xml><?xml version="1.0" encoding="utf-8"?>
<sst xmlns="http://schemas.openxmlformats.org/spreadsheetml/2006/main" count="326" uniqueCount="144">
  <si>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</si>
  <si>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</si>
  <si>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</si>
  <si>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</si>
  <si>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</si>
  <si>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</si>
  <si>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</si>
  <si>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</si>
  <si>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</si>
  <si>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</si>
  <si>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</si>
  <si>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</si>
  <si>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</si>
  <si>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</si>
  <si>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</si>
  <si>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Проскуренко И.К</t>
  </si>
  <si>
    <t>Pass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</si>
  <si>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</si>
  <si>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</si>
  <si>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</si>
  <si>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</si>
  <si>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</si>
  <si>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</si>
  <si>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</si>
  <si>
    <t>Открыта любая внутренняя страница сайта</t>
  </si>
  <si>
    <t>TC-001</t>
  </si>
  <si>
    <t>Поисковая строка</t>
  </si>
  <si>
    <t>Нажать кнопку поиск</t>
  </si>
  <si>
    <t>Пользователь находится на странице с результатом поиска</t>
  </si>
  <si>
    <t>Функциональное: Поисковая строка</t>
  </si>
  <si>
    <t>Нажать на поле Поиск</t>
  </si>
  <si>
    <t>Курсор изменяется, показывая что элемент активный</t>
  </si>
  <si>
    <t>Поле принимает данные без ошибок валидации</t>
  </si>
  <si>
    <t>TC-002</t>
  </si>
  <si>
    <t>Поисковая строка: частичное совпадение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</si>
  <si>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</si>
  <si>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</si>
  <si>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</si>
  <si>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</si>
  <si>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</si>
  <si>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</si>
  <si>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</si>
  <si>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</si>
  <si>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</si>
  <si>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</si>
  <si>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</si>
  <si>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</si>
  <si>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</si>
  <si>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Поисковая строка: Пустой поисковый запрос</t>
  </si>
  <si>
    <t>Поисковая строка: Поиск только из пробелов</t>
  </si>
  <si>
    <t>Поисковая строка: Поиск несуществующего товара</t>
  </si>
  <si>
    <t>Поисковая строка: Поиск с запросом из одного символа</t>
  </si>
  <si>
    <t>Поисковая строка: Поиск с максимально длинным запросом</t>
  </si>
  <si>
    <t>Поисковая строка: Поиск с верхним регистром</t>
  </si>
  <si>
    <t>Поисковая строка: Проверка отображения результатов поиска</t>
  </si>
  <si>
    <t>Оставить поле пустым</t>
  </si>
  <si>
    <t>Поле остаётся пустым</t>
  </si>
  <si>
    <t>Ввести в поисковую строку: (несколько пробелов)</t>
  </si>
  <si>
    <t>Поле принимает данные, пробелы отображаются</t>
  </si>
  <si>
    <t>Поле принимает данные без выполнения скрипта</t>
  </si>
  <si>
    <t>Система не выполняет скрипт, показывает «Ничего не найдено» или корректно обрабатывает запрос</t>
  </si>
  <si>
    <t>Ввести в поисковую строку: (100+ символов)</t>
  </si>
  <si>
    <t>Поле принимает данные в пределах допустимой длины</t>
  </si>
  <si>
    <t>Система выдала страницу с результатами, идентичными поиску в нижнем регистре</t>
  </si>
  <si>
    <t>Выполнить успешный поиск</t>
  </si>
  <si>
    <t>Проверить наличие названия товара</t>
  </si>
  <si>
    <t>Проверить наличие цены</t>
  </si>
  <si>
    <t>Отображается страница с результатами</t>
  </si>
  <si>
    <t>Ввести в поисковую строку: "&lt;script&gt;alert(1)&lt;/script&gt;"</t>
  </si>
  <si>
    <t>Поисковая строка: Поиск с цифрами в запросе</t>
  </si>
  <si>
    <t>Система корректно обрабатывает запрос, ошибка сервера не возникает</t>
  </si>
  <si>
    <t>Название отображается корректно</t>
  </si>
  <si>
    <t>BR-001</t>
  </si>
  <si>
    <t>Major</t>
  </si>
  <si>
    <t>Windows 10/ Yandex Версия
26.8.2.1064 (64-bit)</t>
  </si>
  <si>
    <t>False</t>
  </si>
  <si>
    <t>Medium</t>
  </si>
  <si>
    <t>Поисковая строка: Поиск по категории товара</t>
  </si>
  <si>
    <t>Поисковая строка: Обработка опечаток в словах</t>
  </si>
  <si>
    <t>Поисковая строка: Поиск со специальными символами (XSS/SQL-инъекции)</t>
  </si>
  <si>
    <t>Система выполняет поиск или показывает сообщение о минимальной длине запроса</t>
  </si>
  <si>
    <t>Проверить наличие изображения</t>
  </si>
  <si>
    <t>Проверить ссылку на карточку товара</t>
  </si>
  <si>
    <t>Изображение загружается без ошибок</t>
  </si>
  <si>
    <t>Ссылка ведёт на страницу товара</t>
  </si>
  <si>
    <t>Поисковая строка: Поиск с неправильной раскладкой</t>
  </si>
  <si>
    <t>TC-016</t>
  </si>
  <si>
    <t>Поисковая строка: Проверка автодополнения/подсказок</t>
  </si>
  <si>
    <t>Подождать 1-2 секунды</t>
  </si>
  <si>
    <t>Low</t>
  </si>
  <si>
    <t>High</t>
  </si>
  <si>
    <t>Minor</t>
  </si>
  <si>
    <t>BR-002</t>
  </si>
  <si>
    <t>BR-003</t>
  </si>
  <si>
    <t>Critical</t>
  </si>
  <si>
    <t>BR-004</t>
  </si>
  <si>
    <t>Ввести в поисковую строку: Бюстгальтер</t>
  </si>
  <si>
    <t>Система выдала страницу с результатами, содержащими товар «Бюстгальтер»</t>
  </si>
  <si>
    <t>Ввести в поисковую строку: Бюст</t>
  </si>
  <si>
    <t>Система выдала страницу с товарами, содержащими подстроку «Бюст»</t>
  </si>
  <si>
    <t>Ввести в поисковую строку: Купальник</t>
  </si>
  <si>
    <t>Система выдала страницу с товарами категории «Купальники»</t>
  </si>
  <si>
    <t>Поисковая строка:Поиск по материалу</t>
  </si>
  <si>
    <t>Ввести в поисковую строку: Хлопок</t>
  </si>
  <si>
    <t>Система выдала страницу с товарами из хлопка</t>
  </si>
  <si>
    <t>Ввести в поисковую строку: 75B</t>
  </si>
  <si>
    <t>Система выдала страницу с товарами размера 75B</t>
  </si>
  <si>
    <t>Ввести в поисковую строку: Бюстгалтер (с ошибкой)</t>
  </si>
  <si>
    <t>Система выдала релевантные результаты (бюстгальтеры) или предложение «Возможно, вы имели в виду Бюстгальтер»</t>
  </si>
  <si>
    <t>Ввести в поисковую строку: супербюстгальтер3000</t>
  </si>
  <si>
    <t>Система не отправляет форму, появляется сообщение «Введите поисковый запрос»</t>
  </si>
  <si>
    <t>Система игнорирует пробелы или показывает сообщение «Введите поисковый запрос»</t>
  </si>
  <si>
    <t>Ввести в поисковую строку: Б</t>
  </si>
  <si>
    <t>Ввести в поисковую строку: БЮСТГАЛЬТЕР</t>
  </si>
  <si>
    <t>Ввести в поисковую строку: ,jcnufkmth</t>
  </si>
  <si>
    <t>Система распознаёт раскладку и выдаёт товары «Бюстгальтер», либо предлагает исправление</t>
  </si>
  <si>
    <t>Цена отображается корректно</t>
  </si>
  <si>
    <t>Начать вводить запрос: Бюс</t>
  </si>
  <si>
    <t>Появляется выпадающий список с подсказками (Бюстгальтер, Бюстгальтер с поролоном и т.д.)</t>
  </si>
  <si>
    <t>Поиск проигнорировал точное название категории и выдал товары из смежных категорий (купальники, трусики).</t>
  </si>
  <si>
    <t>https://prnt.sc/jxUcsNqOwVxg</t>
  </si>
  <si>
    <t>https://prnt.sc/vXmwb9_G4iQa</t>
  </si>
  <si>
    <t>Система ничего не нашла "Сожалеем, но ничего не найдено."</t>
  </si>
  <si>
    <t>https://prnt.sc/03oMuN2jYMcS</t>
  </si>
  <si>
    <t>Ни одного бюстгальтера в выдаче нет. Поиск не распознал опечатку и выдал трусики вместо бюстгальтеров.</t>
  </si>
  <si>
    <t>Система выдала страницу с сообщением «Сожалеем, но ничего не найдено.»</t>
  </si>
  <si>
    <t>Система отправила форму с пробельным запросом и показала «Сожалеем, но ничего не найдено»</t>
  </si>
  <si>
    <t>https://prnt.sc/v8K4AJjsURzG</t>
  </si>
  <si>
    <t>BR-005</t>
  </si>
  <si>
    <t>Система выдала страницу «Forbidden — Access denied» (HTTP 403). Поиск не работает</t>
  </si>
  <si>
    <t>https://prnt.sc/Pm5uLd1o_S9F</t>
  </si>
  <si>
    <t>WAF блокирует доступ к сайту после ввода специальных символов в поиск</t>
  </si>
  <si>
    <t>Система вернула «Forbidden — Access denied» (HTTP 403). После этого сайт стал недоступен для данного IP-адреса. Доступ восстановлен только через VPN</t>
  </si>
  <si>
    <t>Система показала «Сожалеем, но ничего не найдено» без указания минимальной длины</t>
  </si>
  <si>
    <t>BR-007</t>
  </si>
  <si>
    <t>https://prnt.sc/Q0jqR20aOSjG</t>
  </si>
  <si>
    <t>BR-008</t>
  </si>
  <si>
    <t>https://prnt.sc/UbQHDhnPlwFQ</t>
  </si>
  <si>
    <t>Страница полностью сломана: отображается только шапка сайта, контент и подвал отсутствуют</t>
  </si>
  <si>
    <t>Система показала «Сожалеем, но ничего не найдено», не распознав раскладку</t>
  </si>
  <si>
    <t>BR-009</t>
  </si>
  <si>
    <t>https://prnt.sc/IknTPyVvrHYX</t>
  </si>
  <si>
    <t>Система распознаёт раскладку и выдаёт товары "Бюстгальтер", либо предлагает исправление</t>
  </si>
  <si>
    <t>Регистр обрабатывается корректно. Нерелевантные результаты — уже зафиксированы в BR-001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</si>
</sst>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2"/>
      <name val="Times New Roman"/>
      <family val="1"/>
      <charset val="204"/>
    </font>
    <font>
      <sz val="12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00FF00"/>
      </patternFill>
    </fill>
  </fills>
  <borders count="3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3" fillId="0" borderId="23" xfId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164" fontId="0" fillId="0" borderId="24" xfId="0" applyNumberForma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3" fillId="0" borderId="3" xfId="1" applyBorder="1" applyAlignment="1">
      <alignment horizontal="center" vertical="center"/>
    </xf>
    <xf numFmtId="0" fontId="3" fillId="0" borderId="25" xfId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3" fillId="0" borderId="26" xfId="1" applyBorder="1" applyAlignment="1">
      <alignment horizontal="center" vertical="center"/>
    </xf>
    <xf numFmtId="0" fontId="3" fillId="0" borderId="27" xfId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3" fillId="0" borderId="30" xfId="1" applyBorder="1" applyAlignment="1">
      <alignment horizontal="center" vertical="center" wrapText="1"/>
    </xf>
    <xf numFmtId="0" fontId="3" fillId="0" borderId="31" xfId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32" workbookViewId="0">
      <selection activeCell="B35" sqref="B35:B37"/>
    </sheetView>
  </sheetViews>
  <sheetFormatPr defaultRowHeight="15" x14ac:dyDescent="0.25"/>
  <cols>
    <col min="1" max="7" width="20.7109375" customWidth="1"/>
  </cols>
  <sheetData>
    <row r="1" spans="1:7" ht="48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22.25" customHeight="1" x14ac:dyDescent="0.25">
      <c r="A2" s="37" t="s">
        <v>25</v>
      </c>
      <c r="B2" s="31" t="s">
        <v>26</v>
      </c>
      <c r="C2" s="31" t="s">
        <v>24</v>
      </c>
      <c r="D2" s="24" t="s">
        <v>30</v>
      </c>
      <c r="E2" s="24" t="s">
        <v>31</v>
      </c>
      <c r="F2" s="31" t="s">
        <v>28</v>
      </c>
      <c r="G2" s="34" t="s">
        <v>90</v>
      </c>
    </row>
    <row r="3" spans="1:7" ht="95.25" customHeight="1" x14ac:dyDescent="0.25">
      <c r="A3" s="38"/>
      <c r="B3" s="32"/>
      <c r="C3" s="32"/>
      <c r="D3" s="9" t="s">
        <v>96</v>
      </c>
      <c r="E3" s="9" t="s">
        <v>32</v>
      </c>
      <c r="F3" s="32"/>
      <c r="G3" s="35"/>
    </row>
    <row r="4" spans="1:7" ht="122.25" customHeight="1" thickBot="1" x14ac:dyDescent="0.3">
      <c r="A4" s="39"/>
      <c r="B4" s="33"/>
      <c r="C4" s="33"/>
      <c r="D4" s="10" t="s">
        <v>27</v>
      </c>
      <c r="E4" s="25" t="s">
        <v>97</v>
      </c>
      <c r="F4" s="33"/>
      <c r="G4" s="36"/>
    </row>
    <row r="5" spans="1:7" ht="75.75" customHeight="1" x14ac:dyDescent="0.25">
      <c r="A5" s="28" t="s">
        <v>33</v>
      </c>
      <c r="B5" s="31" t="s">
        <v>34</v>
      </c>
      <c r="C5" s="31" t="s">
        <v>24</v>
      </c>
      <c r="D5" s="24" t="s">
        <v>30</v>
      </c>
      <c r="E5" s="24" t="s">
        <v>31</v>
      </c>
      <c r="F5" s="31" t="s">
        <v>28</v>
      </c>
      <c r="G5" s="34" t="s">
        <v>90</v>
      </c>
    </row>
    <row r="6" spans="1:7" ht="54.75" customHeight="1" x14ac:dyDescent="0.25">
      <c r="A6" s="29"/>
      <c r="B6" s="32"/>
      <c r="C6" s="32"/>
      <c r="D6" s="9" t="s">
        <v>98</v>
      </c>
      <c r="E6" s="9" t="s">
        <v>32</v>
      </c>
      <c r="F6" s="32"/>
      <c r="G6" s="35"/>
    </row>
    <row r="7" spans="1:7" ht="96.75" customHeight="1" thickBot="1" x14ac:dyDescent="0.3">
      <c r="A7" s="30"/>
      <c r="B7" s="33"/>
      <c r="C7" s="33"/>
      <c r="D7" s="10" t="s">
        <v>27</v>
      </c>
      <c r="E7" s="25" t="s">
        <v>99</v>
      </c>
      <c r="F7" s="33"/>
      <c r="G7" s="36"/>
    </row>
    <row r="8" spans="1:7" ht="47.25" x14ac:dyDescent="0.25">
      <c r="A8" s="28" t="s">
        <v>35</v>
      </c>
      <c r="B8" s="31" t="s">
        <v>77</v>
      </c>
      <c r="C8" s="31" t="s">
        <v>24</v>
      </c>
      <c r="D8" s="24" t="s">
        <v>30</v>
      </c>
      <c r="E8" s="24" t="s">
        <v>31</v>
      </c>
      <c r="F8" s="31" t="s">
        <v>28</v>
      </c>
      <c r="G8" s="34" t="s">
        <v>76</v>
      </c>
    </row>
    <row r="9" spans="1:7" ht="47.25" x14ac:dyDescent="0.25">
      <c r="A9" s="29"/>
      <c r="B9" s="32"/>
      <c r="C9" s="32"/>
      <c r="D9" s="9" t="s">
        <v>100</v>
      </c>
      <c r="E9" s="9" t="s">
        <v>32</v>
      </c>
      <c r="F9" s="32"/>
      <c r="G9" s="35"/>
    </row>
    <row r="10" spans="1:7" ht="77.25" customHeight="1" thickBot="1" x14ac:dyDescent="0.3">
      <c r="A10" s="30"/>
      <c r="B10" s="33"/>
      <c r="C10" s="33"/>
      <c r="D10" s="10" t="s">
        <v>27</v>
      </c>
      <c r="E10" s="25" t="s">
        <v>101</v>
      </c>
      <c r="F10" s="33"/>
      <c r="G10" s="36"/>
    </row>
    <row r="11" spans="1:7" ht="47.25" x14ac:dyDescent="0.25">
      <c r="A11" s="28" t="s">
        <v>36</v>
      </c>
      <c r="B11" s="31" t="s">
        <v>102</v>
      </c>
      <c r="C11" s="31" t="s">
        <v>24</v>
      </c>
      <c r="D11" s="24" t="s">
        <v>30</v>
      </c>
      <c r="E11" s="24" t="s">
        <v>31</v>
      </c>
      <c r="F11" s="31" t="s">
        <v>28</v>
      </c>
      <c r="G11" s="34" t="s">
        <v>90</v>
      </c>
    </row>
    <row r="12" spans="1:7" ht="47.25" x14ac:dyDescent="0.25">
      <c r="A12" s="29"/>
      <c r="B12" s="32"/>
      <c r="C12" s="32"/>
      <c r="D12" s="9" t="s">
        <v>103</v>
      </c>
      <c r="E12" s="9" t="s">
        <v>32</v>
      </c>
      <c r="F12" s="32"/>
      <c r="G12" s="35"/>
    </row>
    <row r="13" spans="1:7" ht="48" thickBot="1" x14ac:dyDescent="0.3">
      <c r="A13" s="30"/>
      <c r="B13" s="33"/>
      <c r="C13" s="33"/>
      <c r="D13" s="10" t="s">
        <v>27</v>
      </c>
      <c r="E13" s="25" t="s">
        <v>104</v>
      </c>
      <c r="F13" s="33"/>
      <c r="G13" s="36"/>
    </row>
    <row r="14" spans="1:7" ht="47.25" x14ac:dyDescent="0.25">
      <c r="A14" s="37" t="s">
        <v>37</v>
      </c>
      <c r="B14" s="31" t="s">
        <v>69</v>
      </c>
      <c r="C14" s="31" t="s">
        <v>24</v>
      </c>
      <c r="D14" s="24" t="s">
        <v>30</v>
      </c>
      <c r="E14" s="24" t="s">
        <v>31</v>
      </c>
      <c r="F14" s="31" t="s">
        <v>28</v>
      </c>
      <c r="G14" s="34" t="s">
        <v>76</v>
      </c>
    </row>
    <row r="15" spans="1:7" ht="47.25" x14ac:dyDescent="0.25">
      <c r="A15" s="38"/>
      <c r="B15" s="32"/>
      <c r="C15" s="32"/>
      <c r="D15" s="9" t="s">
        <v>105</v>
      </c>
      <c r="E15" s="9" t="s">
        <v>32</v>
      </c>
      <c r="F15" s="32"/>
      <c r="G15" s="35"/>
    </row>
    <row r="16" spans="1:7" ht="63.75" thickBot="1" x14ac:dyDescent="0.3">
      <c r="A16" s="39"/>
      <c r="B16" s="33"/>
      <c r="C16" s="33"/>
      <c r="D16" s="10" t="s">
        <v>27</v>
      </c>
      <c r="E16" s="25" t="s">
        <v>106</v>
      </c>
      <c r="F16" s="33"/>
      <c r="G16" s="36"/>
    </row>
    <row r="17" spans="1:7" ht="47.25" x14ac:dyDescent="0.25">
      <c r="A17" s="37" t="s">
        <v>38</v>
      </c>
      <c r="B17" s="31" t="s">
        <v>78</v>
      </c>
      <c r="C17" s="31" t="s">
        <v>24</v>
      </c>
      <c r="D17" s="24" t="s">
        <v>30</v>
      </c>
      <c r="E17" s="24" t="s">
        <v>31</v>
      </c>
      <c r="F17" s="31" t="s">
        <v>28</v>
      </c>
      <c r="G17" s="34" t="s">
        <v>76</v>
      </c>
    </row>
    <row r="18" spans="1:7" ht="31.5" customHeight="1" x14ac:dyDescent="0.25">
      <c r="A18" s="38"/>
      <c r="B18" s="32"/>
      <c r="C18" s="32"/>
      <c r="D18" s="9" t="s">
        <v>107</v>
      </c>
      <c r="E18" s="9" t="s">
        <v>32</v>
      </c>
      <c r="F18" s="32"/>
      <c r="G18" s="35"/>
    </row>
    <row r="19" spans="1:7" ht="126.75" thickBot="1" x14ac:dyDescent="0.3">
      <c r="A19" s="39"/>
      <c r="B19" s="33"/>
      <c r="C19" s="33"/>
      <c r="D19" s="10" t="s">
        <v>27</v>
      </c>
      <c r="E19" s="25" t="s">
        <v>108</v>
      </c>
      <c r="F19" s="33"/>
      <c r="G19" s="36"/>
    </row>
    <row r="20" spans="1:7" ht="60" customHeight="1" x14ac:dyDescent="0.25">
      <c r="A20" s="40" t="s">
        <v>39</v>
      </c>
      <c r="B20" s="31" t="s">
        <v>50</v>
      </c>
      <c r="C20" s="31" t="s">
        <v>24</v>
      </c>
      <c r="D20" s="24" t="s">
        <v>30</v>
      </c>
      <c r="E20" s="24" t="s">
        <v>31</v>
      </c>
      <c r="F20" s="31" t="s">
        <v>28</v>
      </c>
      <c r="G20" s="34" t="s">
        <v>90</v>
      </c>
    </row>
    <row r="21" spans="1:7" ht="71.25" customHeight="1" x14ac:dyDescent="0.25">
      <c r="A21" s="41"/>
      <c r="B21" s="32"/>
      <c r="C21" s="32"/>
      <c r="D21" s="9" t="s">
        <v>109</v>
      </c>
      <c r="E21" s="9" t="s">
        <v>32</v>
      </c>
      <c r="F21" s="32"/>
      <c r="G21" s="35"/>
    </row>
    <row r="22" spans="1:7" ht="126" customHeight="1" thickBot="1" x14ac:dyDescent="0.3">
      <c r="A22" s="42"/>
      <c r="B22" s="33"/>
      <c r="C22" s="33"/>
      <c r="D22" s="10" t="s">
        <v>27</v>
      </c>
      <c r="E22" s="25" t="s">
        <v>125</v>
      </c>
      <c r="F22" s="33"/>
      <c r="G22" s="36"/>
    </row>
    <row r="23" spans="1:7" ht="47.25" x14ac:dyDescent="0.25">
      <c r="A23" s="28" t="s">
        <v>40</v>
      </c>
      <c r="B23" s="31" t="s">
        <v>48</v>
      </c>
      <c r="C23" s="31" t="s">
        <v>24</v>
      </c>
      <c r="D23" s="24" t="s">
        <v>30</v>
      </c>
      <c r="E23" s="24" t="s">
        <v>31</v>
      </c>
      <c r="F23" s="31" t="s">
        <v>28</v>
      </c>
      <c r="G23" s="34" t="s">
        <v>90</v>
      </c>
    </row>
    <row r="24" spans="1:7" ht="47.25" customHeight="1" x14ac:dyDescent="0.25">
      <c r="A24" s="29"/>
      <c r="B24" s="32"/>
      <c r="C24" s="32"/>
      <c r="D24" s="9" t="s">
        <v>55</v>
      </c>
      <c r="E24" s="9" t="s">
        <v>56</v>
      </c>
      <c r="F24" s="32"/>
      <c r="G24" s="35"/>
    </row>
    <row r="25" spans="1:7" ht="95.25" thickBot="1" x14ac:dyDescent="0.3">
      <c r="A25" s="30"/>
      <c r="B25" s="33"/>
      <c r="C25" s="33"/>
      <c r="D25" s="10" t="s">
        <v>27</v>
      </c>
      <c r="E25" s="25" t="s">
        <v>110</v>
      </c>
      <c r="F25" s="33"/>
      <c r="G25" s="36"/>
    </row>
    <row r="26" spans="1:7" ht="49.5" customHeight="1" x14ac:dyDescent="0.25">
      <c r="A26" s="37" t="s">
        <v>41</v>
      </c>
      <c r="B26" s="31" t="s">
        <v>49</v>
      </c>
      <c r="C26" s="31" t="s">
        <v>24</v>
      </c>
      <c r="D26" s="24" t="s">
        <v>30</v>
      </c>
      <c r="E26" s="24" t="s">
        <v>31</v>
      </c>
      <c r="F26" s="31" t="s">
        <v>28</v>
      </c>
      <c r="G26" s="34" t="s">
        <v>90</v>
      </c>
    </row>
    <row r="27" spans="1:7" ht="75" customHeight="1" x14ac:dyDescent="0.25">
      <c r="A27" s="38"/>
      <c r="B27" s="32"/>
      <c r="C27" s="32"/>
      <c r="D27" s="9" t="s">
        <v>57</v>
      </c>
      <c r="E27" s="9" t="s">
        <v>58</v>
      </c>
      <c r="F27" s="32"/>
      <c r="G27" s="35"/>
    </row>
    <row r="28" spans="1:7" ht="103.5" customHeight="1" thickBot="1" x14ac:dyDescent="0.3">
      <c r="A28" s="39"/>
      <c r="B28" s="33"/>
      <c r="C28" s="33"/>
      <c r="D28" s="10" t="s">
        <v>27</v>
      </c>
      <c r="E28" s="25" t="s">
        <v>111</v>
      </c>
      <c r="F28" s="33"/>
      <c r="G28" s="36"/>
    </row>
    <row r="29" spans="1:7" ht="47.25" x14ac:dyDescent="0.25">
      <c r="A29" s="37" t="s">
        <v>42</v>
      </c>
      <c r="B29" s="31" t="s">
        <v>79</v>
      </c>
      <c r="C29" s="31" t="s">
        <v>24</v>
      </c>
      <c r="D29" s="24" t="s">
        <v>30</v>
      </c>
      <c r="E29" s="24" t="s">
        <v>31</v>
      </c>
      <c r="F29" s="31" t="s">
        <v>28</v>
      </c>
      <c r="G29" s="34" t="s">
        <v>90</v>
      </c>
    </row>
    <row r="30" spans="1:7" ht="62.25" customHeight="1" x14ac:dyDescent="0.25">
      <c r="A30" s="38"/>
      <c r="B30" s="32"/>
      <c r="C30" s="32"/>
      <c r="D30" s="11" t="s">
        <v>68</v>
      </c>
      <c r="E30" s="9" t="s">
        <v>59</v>
      </c>
      <c r="F30" s="32"/>
      <c r="G30" s="35"/>
    </row>
    <row r="31" spans="1:7" ht="127.5" customHeight="1" thickBot="1" x14ac:dyDescent="0.3">
      <c r="A31" s="39"/>
      <c r="B31" s="33"/>
      <c r="C31" s="33"/>
      <c r="D31" s="10" t="s">
        <v>27</v>
      </c>
      <c r="E31" s="25" t="s">
        <v>60</v>
      </c>
      <c r="F31" s="33"/>
      <c r="G31" s="36"/>
    </row>
    <row r="32" spans="1:7" ht="47.25" x14ac:dyDescent="0.25">
      <c r="A32" s="37" t="s">
        <v>43</v>
      </c>
      <c r="B32" s="31" t="s">
        <v>51</v>
      </c>
      <c r="C32" s="31" t="s">
        <v>24</v>
      </c>
      <c r="D32" s="24" t="s">
        <v>30</v>
      </c>
      <c r="E32" s="24" t="s">
        <v>31</v>
      </c>
      <c r="F32" s="31" t="s">
        <v>28</v>
      </c>
      <c r="G32" s="34" t="s">
        <v>76</v>
      </c>
    </row>
    <row r="33" spans="1:7" ht="47.25" x14ac:dyDescent="0.25">
      <c r="A33" s="38"/>
      <c r="B33" s="32"/>
      <c r="C33" s="32"/>
      <c r="D33" s="9" t="s">
        <v>112</v>
      </c>
      <c r="E33" s="9" t="s">
        <v>32</v>
      </c>
      <c r="F33" s="32"/>
      <c r="G33" s="35"/>
    </row>
    <row r="34" spans="1:7" ht="95.25" thickBot="1" x14ac:dyDescent="0.3">
      <c r="A34" s="39"/>
      <c r="B34" s="33"/>
      <c r="C34" s="33"/>
      <c r="D34" s="10" t="s">
        <v>27</v>
      </c>
      <c r="E34" s="25" t="s">
        <v>80</v>
      </c>
      <c r="F34" s="33"/>
      <c r="G34" s="36"/>
    </row>
    <row r="35" spans="1:7" ht="30" customHeight="1" x14ac:dyDescent="0.25">
      <c r="A35" s="37" t="s">
        <v>44</v>
      </c>
      <c r="B35" s="31" t="s">
        <v>52</v>
      </c>
      <c r="C35" s="31" t="s">
        <v>24</v>
      </c>
      <c r="D35" s="24" t="s">
        <v>30</v>
      </c>
      <c r="E35" s="24" t="s">
        <v>31</v>
      </c>
      <c r="F35" s="31" t="s">
        <v>28</v>
      </c>
      <c r="G35" s="34" t="s">
        <v>76</v>
      </c>
    </row>
    <row r="36" spans="1:7" ht="76.5" customHeight="1" x14ac:dyDescent="0.25">
      <c r="A36" s="38"/>
      <c r="B36" s="32"/>
      <c r="C36" s="32"/>
      <c r="D36" s="9" t="s">
        <v>61</v>
      </c>
      <c r="E36" s="9" t="s">
        <v>62</v>
      </c>
      <c r="F36" s="32"/>
      <c r="G36" s="35"/>
    </row>
    <row r="37" spans="1:7" ht="97.5" customHeight="1" thickBot="1" x14ac:dyDescent="0.3">
      <c r="A37" s="39"/>
      <c r="B37" s="33"/>
      <c r="C37" s="33"/>
      <c r="D37" s="10" t="s">
        <v>27</v>
      </c>
      <c r="E37" s="25" t="s">
        <v>70</v>
      </c>
      <c r="F37" s="33"/>
      <c r="G37" s="36"/>
    </row>
    <row r="38" spans="1:7" ht="47.25" x14ac:dyDescent="0.25">
      <c r="A38" s="40" t="s">
        <v>45</v>
      </c>
      <c r="B38" s="31" t="s">
        <v>53</v>
      </c>
      <c r="C38" s="31" t="s">
        <v>24</v>
      </c>
      <c r="D38" s="24" t="s">
        <v>30</v>
      </c>
      <c r="E38" s="24" t="s">
        <v>31</v>
      </c>
      <c r="F38" s="31" t="s">
        <v>28</v>
      </c>
      <c r="G38" s="34" t="s">
        <v>90</v>
      </c>
    </row>
    <row r="39" spans="1:7" ht="47.25" x14ac:dyDescent="0.25">
      <c r="A39" s="41"/>
      <c r="B39" s="32"/>
      <c r="C39" s="32"/>
      <c r="D39" s="9" t="s">
        <v>113</v>
      </c>
      <c r="E39" s="9" t="s">
        <v>32</v>
      </c>
      <c r="F39" s="32"/>
      <c r="G39" s="35"/>
    </row>
    <row r="40" spans="1:7" ht="117.75" customHeight="1" thickBot="1" x14ac:dyDescent="0.3">
      <c r="A40" s="42"/>
      <c r="B40" s="33"/>
      <c r="C40" s="33"/>
      <c r="D40" s="10" t="s">
        <v>27</v>
      </c>
      <c r="E40" s="25" t="s">
        <v>63</v>
      </c>
      <c r="F40" s="33"/>
      <c r="G40" s="36"/>
    </row>
    <row r="41" spans="1:7" ht="48.75" customHeight="1" x14ac:dyDescent="0.25">
      <c r="A41" s="40" t="s">
        <v>46</v>
      </c>
      <c r="B41" s="31" t="s">
        <v>85</v>
      </c>
      <c r="C41" s="31" t="s">
        <v>24</v>
      </c>
      <c r="D41" s="24" t="s">
        <v>30</v>
      </c>
      <c r="E41" s="24" t="s">
        <v>31</v>
      </c>
      <c r="F41" s="31" t="s">
        <v>28</v>
      </c>
      <c r="G41" s="34" t="s">
        <v>76</v>
      </c>
    </row>
    <row r="42" spans="1:7" ht="60" customHeight="1" x14ac:dyDescent="0.25">
      <c r="A42" s="41"/>
      <c r="B42" s="32"/>
      <c r="C42" s="32"/>
      <c r="D42" s="9" t="s">
        <v>114</v>
      </c>
      <c r="E42" s="9" t="s">
        <v>32</v>
      </c>
      <c r="F42" s="32"/>
      <c r="G42" s="35"/>
    </row>
    <row r="43" spans="1:7" ht="97.5" customHeight="1" thickBot="1" x14ac:dyDescent="0.3">
      <c r="A43" s="41"/>
      <c r="B43" s="32"/>
      <c r="C43" s="32"/>
      <c r="D43" s="12" t="s">
        <v>27</v>
      </c>
      <c r="E43" s="12" t="s">
        <v>115</v>
      </c>
      <c r="F43" s="32"/>
      <c r="G43" s="35"/>
    </row>
    <row r="44" spans="1:7" ht="64.5" customHeight="1" x14ac:dyDescent="0.25">
      <c r="A44" s="28" t="s">
        <v>47</v>
      </c>
      <c r="B44" s="31" t="s">
        <v>54</v>
      </c>
      <c r="C44" s="31" t="s">
        <v>24</v>
      </c>
      <c r="D44" s="24" t="s">
        <v>64</v>
      </c>
      <c r="E44" s="24" t="s">
        <v>67</v>
      </c>
      <c r="F44" s="31" t="s">
        <v>28</v>
      </c>
      <c r="G44" s="34" t="s">
        <v>90</v>
      </c>
    </row>
    <row r="45" spans="1:7" ht="64.5" customHeight="1" x14ac:dyDescent="0.25">
      <c r="A45" s="29"/>
      <c r="B45" s="32"/>
      <c r="C45" s="32"/>
      <c r="D45" s="9" t="s">
        <v>65</v>
      </c>
      <c r="E45" s="9" t="s">
        <v>71</v>
      </c>
      <c r="F45" s="32"/>
      <c r="G45" s="35"/>
    </row>
    <row r="46" spans="1:7" ht="90" customHeight="1" x14ac:dyDescent="0.25">
      <c r="A46" s="29"/>
      <c r="B46" s="32"/>
      <c r="C46" s="32"/>
      <c r="D46" s="9" t="s">
        <v>66</v>
      </c>
      <c r="E46" s="26" t="s">
        <v>116</v>
      </c>
      <c r="F46" s="32"/>
      <c r="G46" s="35"/>
    </row>
    <row r="47" spans="1:7" ht="59.25" customHeight="1" x14ac:dyDescent="0.25">
      <c r="A47" s="29"/>
      <c r="B47" s="32"/>
      <c r="C47" s="32"/>
      <c r="D47" s="26" t="s">
        <v>81</v>
      </c>
      <c r="E47" s="26" t="s">
        <v>83</v>
      </c>
      <c r="F47" s="32"/>
      <c r="G47" s="35"/>
    </row>
    <row r="48" spans="1:7" ht="63" customHeight="1" thickBot="1" x14ac:dyDescent="0.3">
      <c r="A48" s="30"/>
      <c r="B48" s="33"/>
      <c r="C48" s="33"/>
      <c r="D48" s="25" t="s">
        <v>82</v>
      </c>
      <c r="E48" s="25" t="s">
        <v>84</v>
      </c>
      <c r="F48" s="33"/>
      <c r="G48" s="36"/>
    </row>
    <row r="49" spans="1:7" ht="66.75" customHeight="1" x14ac:dyDescent="0.25">
      <c r="A49" s="28" t="s">
        <v>86</v>
      </c>
      <c r="B49" s="31" t="s">
        <v>87</v>
      </c>
      <c r="C49" s="31" t="s">
        <v>24</v>
      </c>
      <c r="D49" s="24" t="s">
        <v>30</v>
      </c>
      <c r="E49" s="24" t="s">
        <v>31</v>
      </c>
      <c r="F49" s="31" t="s">
        <v>28</v>
      </c>
      <c r="G49" s="34" t="s">
        <v>89</v>
      </c>
    </row>
    <row r="50" spans="1:7" ht="49.5" customHeight="1" x14ac:dyDescent="0.25">
      <c r="A50" s="29"/>
      <c r="B50" s="32"/>
      <c r="C50" s="32"/>
      <c r="D50" s="9" t="s">
        <v>117</v>
      </c>
      <c r="E50" s="9" t="s">
        <v>32</v>
      </c>
      <c r="F50" s="32"/>
      <c r="G50" s="35"/>
    </row>
    <row r="51" spans="1:7" ht="135" customHeight="1" thickBot="1" x14ac:dyDescent="0.3">
      <c r="A51" s="30"/>
      <c r="B51" s="33"/>
      <c r="C51" s="33"/>
      <c r="D51" s="10" t="s">
        <v>88</v>
      </c>
      <c r="E51" s="10" t="s">
        <v>118</v>
      </c>
      <c r="F51" s="33"/>
      <c r="G51" s="36"/>
    </row>
  </sheetData>
  <mergeCells count="80">
    <mergeCell ref="A49:A51"/>
    <mergeCell ref="B49:B51"/>
    <mergeCell ref="C49:C51"/>
    <mergeCell ref="F49:F51"/>
    <mergeCell ref="G49:G51"/>
    <mergeCell ref="A44:A48"/>
    <mergeCell ref="B44:B48"/>
    <mergeCell ref="C44:C48"/>
    <mergeCell ref="F44:F48"/>
    <mergeCell ref="G44:G48"/>
    <mergeCell ref="A38:A40"/>
    <mergeCell ref="B38:B40"/>
    <mergeCell ref="C38:C40"/>
    <mergeCell ref="F38:F40"/>
    <mergeCell ref="G38:G40"/>
    <mergeCell ref="A41:A43"/>
    <mergeCell ref="B41:B43"/>
    <mergeCell ref="C41:C43"/>
    <mergeCell ref="F41:F43"/>
    <mergeCell ref="G41:G43"/>
    <mergeCell ref="A32:A34"/>
    <mergeCell ref="B32:B34"/>
    <mergeCell ref="C32:C34"/>
    <mergeCell ref="F32:F34"/>
    <mergeCell ref="G32:G34"/>
    <mergeCell ref="A35:A37"/>
    <mergeCell ref="B35:B37"/>
    <mergeCell ref="C35:C37"/>
    <mergeCell ref="F35:F37"/>
    <mergeCell ref="G35:G37"/>
    <mergeCell ref="A26:A28"/>
    <mergeCell ref="B26:B28"/>
    <mergeCell ref="C26:C28"/>
    <mergeCell ref="F26:F28"/>
    <mergeCell ref="G26:G28"/>
    <mergeCell ref="A29:A31"/>
    <mergeCell ref="B29:B31"/>
    <mergeCell ref="C29:C31"/>
    <mergeCell ref="F29:F31"/>
    <mergeCell ref="G29:G31"/>
    <mergeCell ref="A20:A22"/>
    <mergeCell ref="B20:B22"/>
    <mergeCell ref="C20:C22"/>
    <mergeCell ref="F20:F22"/>
    <mergeCell ref="G20:G22"/>
    <mergeCell ref="A23:A25"/>
    <mergeCell ref="B23:B25"/>
    <mergeCell ref="C23:C25"/>
    <mergeCell ref="F23:F25"/>
    <mergeCell ref="G23:G25"/>
    <mergeCell ref="A14:A16"/>
    <mergeCell ref="B14:B16"/>
    <mergeCell ref="C14:C16"/>
    <mergeCell ref="F14:F16"/>
    <mergeCell ref="G14:G16"/>
    <mergeCell ref="A17:A19"/>
    <mergeCell ref="B17:B19"/>
    <mergeCell ref="C17:C19"/>
    <mergeCell ref="F17:F19"/>
    <mergeCell ref="G17:G19"/>
    <mergeCell ref="A8:A10"/>
    <mergeCell ref="B8:B10"/>
    <mergeCell ref="C8:C10"/>
    <mergeCell ref="F8:F10"/>
    <mergeCell ref="G8:G10"/>
    <mergeCell ref="A11:A13"/>
    <mergeCell ref="B11:B13"/>
    <mergeCell ref="C11:C13"/>
    <mergeCell ref="F11:F13"/>
    <mergeCell ref="G11:G13"/>
    <mergeCell ref="A2:A4"/>
    <mergeCell ref="B2:B4"/>
    <mergeCell ref="C2:C4"/>
    <mergeCell ref="F2:F4"/>
    <mergeCell ref="G2:G4"/>
    <mergeCell ref="A5:A7"/>
    <mergeCell ref="B5:B7"/>
    <mergeCell ref="C5:C7"/>
    <mergeCell ref="F5:F7"/>
    <mergeCell ref="G5:G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990F-ED10-4C31-9F38-F9573209A0A0}">
  <dimension ref="A1:H18"/>
  <sheetViews>
    <sheetView topLeftCell="A7" workbookViewId="0">
      <selection activeCell="H11" sqref="H11:H12"/>
    </sheetView>
  </sheetViews>
  <sheetFormatPr defaultRowHeight="15" x14ac:dyDescent="0.25"/>
  <cols>
    <col min="1" max="8" width="20.7109375" customWidth="1"/>
  </cols>
  <sheetData>
    <row r="1" spans="1:8" ht="30" x14ac:dyDescent="0.25">
      <c r="A1" s="3" t="s">
        <v>7</v>
      </c>
      <c r="B1" s="3" t="s">
        <v>8</v>
      </c>
      <c r="C1" s="3" t="s">
        <v>9</v>
      </c>
      <c r="D1" s="4" t="s">
        <v>10</v>
      </c>
      <c r="E1" s="4" t="s">
        <v>0</v>
      </c>
      <c r="F1" s="4" t="s">
        <v>11</v>
      </c>
      <c r="G1" s="4" t="s">
        <v>12</v>
      </c>
      <c r="H1" s="3" t="s">
        <v>13</v>
      </c>
    </row>
    <row r="2" spans="1:8" ht="138.75" customHeight="1" x14ac:dyDescent="0.25">
      <c r="A2" s="56" t="s">
        <v>14</v>
      </c>
      <c r="B2" s="53">
        <v>46297</v>
      </c>
      <c r="C2" s="50" t="s">
        <v>29</v>
      </c>
      <c r="D2" s="47" t="s">
        <v>15</v>
      </c>
      <c r="E2" s="5" t="str">
        <f>HYPERLINK("#'Test Cases'!A2", "TC-001")</f>
        <v>TC-001</v>
      </c>
      <c r="F2" s="13" t="s">
        <v>75</v>
      </c>
      <c r="G2" s="7" t="s">
        <v>119</v>
      </c>
      <c r="H2" s="5" t="str">
        <f>HYPERLINK("#'Bug Reports'!A2", "BR-001")</f>
        <v>BR-001</v>
      </c>
    </row>
    <row r="3" spans="1:8" ht="15" customHeight="1" x14ac:dyDescent="0.25">
      <c r="A3" s="57"/>
      <c r="B3" s="54"/>
      <c r="C3" s="51"/>
      <c r="D3" s="48"/>
      <c r="E3" s="5" t="str">
        <f>HYPERLINK("#'Test Cases'!A5", "TC-002")</f>
        <v>TC-002</v>
      </c>
      <c r="F3" s="6" t="s">
        <v>16</v>
      </c>
      <c r="G3" s="8"/>
      <c r="H3" s="8"/>
    </row>
    <row r="4" spans="1:8" ht="15" customHeight="1" x14ac:dyDescent="0.25">
      <c r="A4" s="57"/>
      <c r="B4" s="54"/>
      <c r="C4" s="51"/>
      <c r="D4" s="48"/>
      <c r="E4" s="5" t="str">
        <f>HYPERLINK("#'Test Cases'!A8", "TC-003")</f>
        <v>TC-003</v>
      </c>
      <c r="F4" s="6" t="s">
        <v>16</v>
      </c>
      <c r="G4" s="7"/>
      <c r="H4" s="5"/>
    </row>
    <row r="5" spans="1:8" ht="15" customHeight="1" thickBot="1" x14ac:dyDescent="0.3">
      <c r="A5" s="57"/>
      <c r="B5" s="54"/>
      <c r="C5" s="51"/>
      <c r="D5" s="48"/>
      <c r="E5" s="5" t="str">
        <f>HYPERLINK("#'Test Cases'!A11", "TC-004")</f>
        <v>TC-004</v>
      </c>
      <c r="F5" s="6" t="s">
        <v>16</v>
      </c>
      <c r="G5" s="7"/>
      <c r="H5" s="5"/>
    </row>
    <row r="6" spans="1:8" ht="70.5" customHeight="1" thickBot="1" x14ac:dyDescent="0.3">
      <c r="A6" s="57"/>
      <c r="B6" s="54"/>
      <c r="C6" s="51"/>
      <c r="D6" s="48"/>
      <c r="E6" s="5" t="str">
        <f>HYPERLINK("#'Test Cases'!A14", "TC-005")</f>
        <v>TC-005</v>
      </c>
      <c r="F6" s="13" t="s">
        <v>75</v>
      </c>
      <c r="G6" s="20" t="s">
        <v>122</v>
      </c>
      <c r="H6" s="5" t="str">
        <f>HYPERLINK("#'Bug Reports'!A3", "BR-002")</f>
        <v>BR-002</v>
      </c>
    </row>
    <row r="7" spans="1:8" ht="113.25" customHeight="1" x14ac:dyDescent="0.25">
      <c r="A7" s="57"/>
      <c r="B7" s="54"/>
      <c r="C7" s="51"/>
      <c r="D7" s="48"/>
      <c r="E7" s="5" t="str">
        <f>HYPERLINK("#'Test Cases'!A17", "TC-006")</f>
        <v>TC-006</v>
      </c>
      <c r="F7" s="13" t="s">
        <v>75</v>
      </c>
      <c r="G7" s="7" t="s">
        <v>124</v>
      </c>
      <c r="H7" s="5" t="str">
        <f>HYPERLINK("#'Bug Reports'!A4", "BR-003")</f>
        <v>BR-003</v>
      </c>
    </row>
    <row r="8" spans="1:8" ht="17.25" customHeight="1" x14ac:dyDescent="0.25">
      <c r="A8" s="57"/>
      <c r="B8" s="54"/>
      <c r="C8" s="51"/>
      <c r="D8" s="48"/>
      <c r="E8" s="27" t="str">
        <f>HYPERLINK("#'Test Cases'!A20", "TC-007")</f>
        <v>TC-007</v>
      </c>
      <c r="F8" s="6" t="s">
        <v>16</v>
      </c>
      <c r="G8" s="7"/>
      <c r="H8" s="5"/>
    </row>
    <row r="9" spans="1:8" ht="15" customHeight="1" x14ac:dyDescent="0.25">
      <c r="A9" s="57"/>
      <c r="B9" s="54"/>
      <c r="C9" s="51"/>
      <c r="D9" s="48"/>
      <c r="E9" s="5" t="str">
        <f>HYPERLINK("#'Test Cases'!A23", "TC-008")</f>
        <v>TC-008</v>
      </c>
      <c r="F9" s="6" t="s">
        <v>16</v>
      </c>
      <c r="G9" s="8"/>
      <c r="H9" s="8"/>
    </row>
    <row r="10" spans="1:8" ht="75.75" customHeight="1" x14ac:dyDescent="0.25">
      <c r="A10" s="57"/>
      <c r="B10" s="54"/>
      <c r="C10" s="51"/>
      <c r="D10" s="48"/>
      <c r="E10" s="5" t="str">
        <f>HYPERLINK("#'Test Cases'!A26", "TC-009")</f>
        <v>TC-009</v>
      </c>
      <c r="F10" s="13" t="s">
        <v>75</v>
      </c>
      <c r="G10" s="7" t="s">
        <v>126</v>
      </c>
      <c r="H10" s="5" t="str">
        <f>HYPERLINK("#'Bug Reports'!A5", "BR-004")</f>
        <v>BR-004</v>
      </c>
    </row>
    <row r="11" spans="1:8" ht="75.75" customHeight="1" x14ac:dyDescent="0.25">
      <c r="A11" s="57"/>
      <c r="B11" s="54"/>
      <c r="C11" s="51"/>
      <c r="D11" s="48"/>
      <c r="E11" s="43" t="str">
        <f>HYPERLINK("#'Test Cases'!A29", "TC-010")</f>
        <v>TC-010</v>
      </c>
      <c r="F11" s="45" t="s">
        <v>75</v>
      </c>
      <c r="G11" s="7" t="s">
        <v>129</v>
      </c>
      <c r="H11" s="43" t="str">
        <f>HYPERLINK("#'Bug Reports'!A6", "BR-005")</f>
        <v>BR-005</v>
      </c>
    </row>
    <row r="12" spans="1:8" ht="125.25" customHeight="1" x14ac:dyDescent="0.25">
      <c r="A12" s="57"/>
      <c r="B12" s="54"/>
      <c r="C12" s="51"/>
      <c r="D12" s="48"/>
      <c r="E12" s="44"/>
      <c r="F12" s="46"/>
      <c r="G12" s="7" t="s">
        <v>132</v>
      </c>
      <c r="H12" s="44"/>
    </row>
    <row r="13" spans="1:8" ht="75" x14ac:dyDescent="0.25">
      <c r="A13" s="57"/>
      <c r="B13" s="54"/>
      <c r="C13" s="51"/>
      <c r="D13" s="48"/>
      <c r="E13" s="5" t="str">
        <f>HYPERLINK("#'Test Cases'!A32", "TC-011")</f>
        <v>TC-011</v>
      </c>
      <c r="F13" s="13" t="s">
        <v>75</v>
      </c>
      <c r="G13" s="7" t="s">
        <v>133</v>
      </c>
      <c r="H13" s="5" t="str">
        <f>HYPERLINK("#'Bug Reports'!A8", "BR-007")</f>
        <v>BR-007</v>
      </c>
    </row>
    <row r="14" spans="1:8" ht="75" x14ac:dyDescent="0.25">
      <c r="A14" s="57"/>
      <c r="B14" s="54"/>
      <c r="C14" s="51"/>
      <c r="D14" s="48"/>
      <c r="E14" s="5" t="str">
        <f>HYPERLINK("#'Test Cases'!A35", "TC-012")</f>
        <v>TC-012</v>
      </c>
      <c r="F14" s="13" t="s">
        <v>75</v>
      </c>
      <c r="G14" s="7" t="s">
        <v>138</v>
      </c>
      <c r="H14" s="5" t="str">
        <f>HYPERLINK("#'Bug Reports'!A9", "BR-008")</f>
        <v>BR-008</v>
      </c>
    </row>
    <row r="15" spans="1:8" ht="105" x14ac:dyDescent="0.25">
      <c r="A15" s="57"/>
      <c r="B15" s="54"/>
      <c r="C15" s="51"/>
      <c r="D15" s="48"/>
      <c r="E15" s="5" t="str">
        <f>HYPERLINK("#'Test Cases'!A38", "TC-013")</f>
        <v>TC-013</v>
      </c>
      <c r="F15" s="6" t="s">
        <v>16</v>
      </c>
      <c r="G15" s="7" t="s">
        <v>143</v>
      </c>
      <c r="H15" s="8"/>
    </row>
    <row r="16" spans="1:8" ht="75" x14ac:dyDescent="0.25">
      <c r="A16" s="57"/>
      <c r="B16" s="54"/>
      <c r="C16" s="51"/>
      <c r="D16" s="48"/>
      <c r="E16" s="5" t="str">
        <f>HYPERLINK("#'Test Cases'!A41", "TC-014")</f>
        <v>TC-014</v>
      </c>
      <c r="F16" s="13" t="s">
        <v>75</v>
      </c>
      <c r="G16" s="7" t="s">
        <v>139</v>
      </c>
      <c r="H16" s="5" t="str">
        <f>HYPERLINK("#'Bug Reports'!A10", "BR-009")</f>
        <v>BR-009</v>
      </c>
    </row>
    <row r="17" spans="1:8" x14ac:dyDescent="0.25">
      <c r="A17" s="57"/>
      <c r="B17" s="54"/>
      <c r="C17" s="51"/>
      <c r="D17" s="48"/>
      <c r="E17" s="5" t="str">
        <f>HYPERLINK("#'Test Cases'!A44", "TC-015")</f>
        <v>TC-015</v>
      </c>
      <c r="F17" s="6" t="s">
        <v>16</v>
      </c>
      <c r="G17" s="8"/>
      <c r="H17" s="8"/>
    </row>
    <row r="18" spans="1:8" x14ac:dyDescent="0.25">
      <c r="A18" s="58"/>
      <c r="B18" s="55"/>
      <c r="C18" s="52"/>
      <c r="D18" s="49"/>
      <c r="E18" s="5" t="str">
        <f>HYPERLINK("#'Test Cases'!A49", "TC-016")</f>
        <v>TC-016</v>
      </c>
      <c r="F18" s="6" t="s">
        <v>16</v>
      </c>
      <c r="G18" s="8"/>
      <c r="H18" s="8"/>
    </row>
  </sheetData>
  <mergeCells count="7">
    <mergeCell ref="A2:A18"/>
    <mergeCell ref="E11:E12"/>
    <mergeCell ref="H11:H12"/>
    <mergeCell ref="F11:F12"/>
    <mergeCell ref="D2:D18"/>
    <mergeCell ref="C2:C18"/>
    <mergeCell ref="B2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96AA-C1B6-4DD4-A286-F8977A4E04C6}">
  <dimension ref="A1:M11"/>
  <sheetViews>
    <sheetView tabSelected="1" topLeftCell="A8" zoomScale="85" zoomScaleNormal="85" workbookViewId="0">
      <selection activeCell="G21" sqref="G21"/>
    </sheetView>
  </sheetViews>
  <sheetFormatPr defaultRowHeight="15" x14ac:dyDescent="0.25"/>
  <cols>
    <col min="1" max="13" width="20.7109375" customWidth="1"/>
  </cols>
  <sheetData>
    <row r="1" spans="1:13" ht="45.75" thickBot="1" x14ac:dyDescent="0.3">
      <c r="A1" s="3" t="s">
        <v>13</v>
      </c>
      <c r="B1" s="3" t="s">
        <v>1</v>
      </c>
      <c r="C1" s="3" t="s">
        <v>17</v>
      </c>
      <c r="D1" s="4" t="s">
        <v>7</v>
      </c>
      <c r="E1" s="4" t="s">
        <v>2</v>
      </c>
      <c r="F1" s="4" t="s">
        <v>18</v>
      </c>
      <c r="G1" s="4" t="s">
        <v>4</v>
      </c>
      <c r="H1" s="3" t="s">
        <v>19</v>
      </c>
      <c r="I1" s="3" t="s">
        <v>20</v>
      </c>
      <c r="J1" s="3" t="s">
        <v>6</v>
      </c>
      <c r="K1" s="3" t="s">
        <v>21</v>
      </c>
      <c r="L1" s="4" t="s">
        <v>22</v>
      </c>
      <c r="M1" s="4" t="s">
        <v>23</v>
      </c>
    </row>
    <row r="2" spans="1:13" ht="120.75" thickBot="1" x14ac:dyDescent="0.3">
      <c r="A2" s="15" t="s">
        <v>72</v>
      </c>
      <c r="B2" s="16" t="s">
        <v>26</v>
      </c>
      <c r="C2" s="5" t="str">
        <f>HYPERLINK("#'Test Cases'!A2", "TC-001")</f>
        <v>TC-001</v>
      </c>
      <c r="D2" s="17" t="str">
        <f t="shared" ref="D2:D10" si="0">HYPERLINK("#'Test Run'!A2", "TR-001")</f>
        <v>TR-001</v>
      </c>
      <c r="E2" s="18" t="s">
        <v>24</v>
      </c>
      <c r="F2" s="19" t="s">
        <v>27</v>
      </c>
      <c r="G2" s="25" t="s">
        <v>97</v>
      </c>
      <c r="H2" s="7" t="s">
        <v>119</v>
      </c>
      <c r="I2" s="21" t="s">
        <v>73</v>
      </c>
      <c r="J2" s="21" t="s">
        <v>90</v>
      </c>
      <c r="K2" s="22" t="s">
        <v>74</v>
      </c>
      <c r="L2" s="22" t="s">
        <v>120</v>
      </c>
      <c r="M2" s="23">
        <v>46297</v>
      </c>
    </row>
    <row r="3" spans="1:13" ht="125.25" customHeight="1" thickBot="1" x14ac:dyDescent="0.3">
      <c r="A3" s="15" t="s">
        <v>92</v>
      </c>
      <c r="B3" s="16" t="s">
        <v>69</v>
      </c>
      <c r="C3" s="14" t="str">
        <f>HYPERLINK("#'Test Cases'!A14", "TC-005")</f>
        <v>TC-005</v>
      </c>
      <c r="D3" s="17" t="str">
        <f t="shared" si="0"/>
        <v>TR-001</v>
      </c>
      <c r="E3" s="18" t="s">
        <v>24</v>
      </c>
      <c r="F3" s="19" t="s">
        <v>27</v>
      </c>
      <c r="G3" s="25" t="s">
        <v>106</v>
      </c>
      <c r="H3" s="20" t="s">
        <v>122</v>
      </c>
      <c r="I3" s="21" t="s">
        <v>73</v>
      </c>
      <c r="J3" s="21" t="s">
        <v>90</v>
      </c>
      <c r="K3" s="22" t="s">
        <v>74</v>
      </c>
      <c r="L3" s="22" t="s">
        <v>121</v>
      </c>
      <c r="M3" s="23">
        <v>46297</v>
      </c>
    </row>
    <row r="4" spans="1:13" ht="126.75" thickBot="1" x14ac:dyDescent="0.3">
      <c r="A4" s="15" t="s">
        <v>93</v>
      </c>
      <c r="B4" s="16" t="s">
        <v>78</v>
      </c>
      <c r="C4" s="14" t="str">
        <f>HYPERLINK("#'Test Cases'!A17", "TC-006")</f>
        <v>TC-006</v>
      </c>
      <c r="D4" s="17" t="str">
        <f t="shared" si="0"/>
        <v>TR-001</v>
      </c>
      <c r="E4" s="18" t="s">
        <v>24</v>
      </c>
      <c r="F4" s="19" t="s">
        <v>27</v>
      </c>
      <c r="G4" s="25" t="s">
        <v>108</v>
      </c>
      <c r="H4" s="7" t="s">
        <v>124</v>
      </c>
      <c r="I4" s="21" t="s">
        <v>73</v>
      </c>
      <c r="J4" s="21" t="s">
        <v>90</v>
      </c>
      <c r="K4" s="22" t="s">
        <v>74</v>
      </c>
      <c r="L4" s="22" t="s">
        <v>123</v>
      </c>
      <c r="M4" s="23">
        <v>46297</v>
      </c>
    </row>
    <row r="5" spans="1:13" ht="111" thickBot="1" x14ac:dyDescent="0.3">
      <c r="A5" s="15" t="s">
        <v>95</v>
      </c>
      <c r="B5" s="16" t="s">
        <v>49</v>
      </c>
      <c r="C5" s="14" t="str">
        <f>HYPERLINK("#'Test Cases'!A26", "TC-009")</f>
        <v>TC-009</v>
      </c>
      <c r="D5" s="17" t="str">
        <f t="shared" si="0"/>
        <v>TR-001</v>
      </c>
      <c r="E5" s="18" t="s">
        <v>24</v>
      </c>
      <c r="F5" s="19" t="s">
        <v>27</v>
      </c>
      <c r="G5" s="25" t="s">
        <v>111</v>
      </c>
      <c r="H5" s="7" t="s">
        <v>126</v>
      </c>
      <c r="I5" s="21" t="s">
        <v>91</v>
      </c>
      <c r="J5" s="21" t="s">
        <v>89</v>
      </c>
      <c r="K5" s="22" t="s">
        <v>74</v>
      </c>
      <c r="L5" s="22" t="s">
        <v>127</v>
      </c>
      <c r="M5" s="23">
        <v>46297</v>
      </c>
    </row>
    <row r="6" spans="1:13" ht="139.5" customHeight="1" thickBot="1" x14ac:dyDescent="0.3">
      <c r="A6" s="59" t="s">
        <v>128</v>
      </c>
      <c r="B6" s="16" t="s">
        <v>79</v>
      </c>
      <c r="C6" s="61" t="str">
        <f>HYPERLINK("#'Test Cases'!A29", "TC-010")</f>
        <v>TC-010</v>
      </c>
      <c r="D6" s="63" t="str">
        <f t="shared" si="0"/>
        <v>TR-001</v>
      </c>
      <c r="E6" s="18" t="s">
        <v>24</v>
      </c>
      <c r="F6" s="19" t="s">
        <v>27</v>
      </c>
      <c r="G6" s="25" t="s">
        <v>60</v>
      </c>
      <c r="H6" s="7" t="s">
        <v>129</v>
      </c>
      <c r="I6" s="21" t="s">
        <v>94</v>
      </c>
      <c r="J6" s="21" t="s">
        <v>90</v>
      </c>
      <c r="K6" s="22" t="s">
        <v>74</v>
      </c>
      <c r="L6" s="22" t="s">
        <v>130</v>
      </c>
      <c r="M6" s="23">
        <v>46297</v>
      </c>
    </row>
    <row r="7" spans="1:13" ht="126.75" thickBot="1" x14ac:dyDescent="0.3">
      <c r="A7" s="60"/>
      <c r="B7" s="16" t="s">
        <v>131</v>
      </c>
      <c r="C7" s="62"/>
      <c r="D7" s="64"/>
      <c r="E7" s="18" t="s">
        <v>24</v>
      </c>
      <c r="F7" s="19" t="s">
        <v>27</v>
      </c>
      <c r="G7" s="25" t="s">
        <v>60</v>
      </c>
      <c r="H7" s="7" t="s">
        <v>132</v>
      </c>
      <c r="I7" s="21" t="s">
        <v>94</v>
      </c>
      <c r="J7" s="21" t="s">
        <v>90</v>
      </c>
      <c r="K7" s="22" t="s">
        <v>74</v>
      </c>
      <c r="L7" s="22" t="s">
        <v>130</v>
      </c>
      <c r="M7" s="23">
        <v>46297</v>
      </c>
    </row>
    <row r="8" spans="1:13" ht="95.25" thickBot="1" x14ac:dyDescent="0.3">
      <c r="A8" s="15" t="s">
        <v>134</v>
      </c>
      <c r="B8" s="16" t="s">
        <v>51</v>
      </c>
      <c r="C8" s="14" t="str">
        <f>HYPERLINK("#'Test Cases'!A32", "TC-011")</f>
        <v>TC-011</v>
      </c>
      <c r="D8" s="17" t="str">
        <f t="shared" si="0"/>
        <v>TR-001</v>
      </c>
      <c r="E8" s="18" t="s">
        <v>24</v>
      </c>
      <c r="F8" s="19" t="s">
        <v>27</v>
      </c>
      <c r="G8" s="25" t="s">
        <v>80</v>
      </c>
      <c r="H8" s="7" t="s">
        <v>133</v>
      </c>
      <c r="I8" s="21" t="s">
        <v>91</v>
      </c>
      <c r="J8" s="21" t="s">
        <v>89</v>
      </c>
      <c r="K8" s="22" t="s">
        <v>74</v>
      </c>
      <c r="L8" s="22" t="s">
        <v>135</v>
      </c>
      <c r="M8" s="23">
        <v>46297</v>
      </c>
    </row>
    <row r="9" spans="1:13" ht="105.75" customHeight="1" thickBot="1" x14ac:dyDescent="0.3">
      <c r="A9" s="15" t="s">
        <v>136</v>
      </c>
      <c r="B9" s="16" t="s">
        <v>52</v>
      </c>
      <c r="C9" s="5" t="str">
        <f>HYPERLINK("#'Test Cases'!A35", "TC-012")</f>
        <v>TC-012</v>
      </c>
      <c r="D9" s="17" t="str">
        <f t="shared" si="0"/>
        <v>TR-001</v>
      </c>
      <c r="E9" s="18" t="s">
        <v>24</v>
      </c>
      <c r="F9" s="19" t="s">
        <v>27</v>
      </c>
      <c r="G9" s="25" t="s">
        <v>70</v>
      </c>
      <c r="H9" s="7" t="s">
        <v>138</v>
      </c>
      <c r="I9" s="21" t="s">
        <v>94</v>
      </c>
      <c r="J9" s="21" t="s">
        <v>90</v>
      </c>
      <c r="K9" s="22" t="s">
        <v>74</v>
      </c>
      <c r="L9" s="22" t="s">
        <v>137</v>
      </c>
      <c r="M9" s="23">
        <v>46297</v>
      </c>
    </row>
    <row r="10" spans="1:13" ht="121.5" customHeight="1" thickBot="1" x14ac:dyDescent="0.3">
      <c r="A10" s="15" t="s">
        <v>140</v>
      </c>
      <c r="B10" s="16" t="s">
        <v>85</v>
      </c>
      <c r="C10" s="5" t="str">
        <f>HYPERLINK("#'Test Cases'!A41", "TC-014")</f>
        <v>TC-014</v>
      </c>
      <c r="D10" s="17" t="str">
        <f t="shared" si="0"/>
        <v>TR-001</v>
      </c>
      <c r="E10" s="18" t="s">
        <v>24</v>
      </c>
      <c r="F10" s="19" t="s">
        <v>27</v>
      </c>
      <c r="G10" s="7" t="s">
        <v>142</v>
      </c>
      <c r="H10" s="25" t="s">
        <v>70</v>
      </c>
      <c r="I10" s="21" t="s">
        <v>73</v>
      </c>
      <c r="J10" s="21" t="s">
        <v>90</v>
      </c>
      <c r="K10" s="22" t="s">
        <v>74</v>
      </c>
      <c r="L10" s="22" t="s">
        <v>141</v>
      </c>
      <c r="M10" s="23">
        <v>46297</v>
      </c>
    </row>
    <row r="11" spans="1:13" x14ac:dyDescent="0.25">
      <c r="G11" s="7"/>
    </row>
  </sheetData>
  <mergeCells count="3">
    <mergeCell ref="A6:A7"/>
    <mergeCell ref="C6:C7"/>
    <mergeCell ref="D6:D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2026-10-02T10:51:36Z</dcterms:modified>
</cp:coreProperties>
</file>