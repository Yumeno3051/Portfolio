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bea10542c94829a/Desktop/Работа/"/>
    </mc:Choice>
  </mc:AlternateContent>
  <xr:revisionPtr revIDLastSave="165" documentId="11_F25DC773A252ABDACC10481E791F7A445ADE58EB" xr6:coauthVersionLast="47" xr6:coauthVersionMax="47" xr10:uidLastSave="{8633E928-9D8F-4C95-A3F5-3A25C7E55A4A}"/>
  <bookViews>
    <workbookView xWindow="-120" yWindow="-120" windowWidth="29040" windowHeight="15840" activeTab="1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3" l="1"/>
  <c r="D5" i="3"/>
  <c r="H11" i="2"/>
  <c r="C4" i="3"/>
  <c r="D4" i="3"/>
  <c r="H15" i="2"/>
  <c r="H10" i="2"/>
  <c r="C3" i="3"/>
  <c r="C2" i="3"/>
  <c r="H8" i="2"/>
  <c r="D3" i="3"/>
  <c r="E12" i="2"/>
  <c r="E15" i="2"/>
  <c r="E11" i="2"/>
  <c r="E10" i="2"/>
  <c r="E7" i="2"/>
  <c r="E6" i="2"/>
  <c r="E2" i="2"/>
  <c r="E16" i="2"/>
  <c r="E17" i="2"/>
  <c r="D2" i="3"/>
  <c r="E14" i="2"/>
  <c r="E13" i="2"/>
  <c r="E9" i="2"/>
  <c r="E8" i="2"/>
  <c r="E5" i="2"/>
  <c r="E4" i="2"/>
  <c r="E3" i="2"/>
</calcChain>
</file>

<file path=xl/sharedStrings.xml><?xml version="1.0" encoding="utf-8"?>
<sst xmlns="http://schemas.openxmlformats.org/spreadsheetml/2006/main" count="271" uniqueCount="129">
  <si>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</si>
  <si>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</si>
  <si>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</si>
  <si>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</si>
  <si>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</si>
  <si>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</si>
  <si>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</si>
  <si>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</si>
  <si>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</si>
  <si>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</si>
  <si>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</si>
  <si>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</si>
  <si>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</si>
  <si>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</si>
  <si>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</si>
  <si>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</si>
  <si>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</si>
  <si>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</si>
  <si>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</si>
  <si>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</si>
  <si>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</si>
  <si>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</si>
  <si>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</si>
  <si>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</si>
  <si>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>Открыта любая внутренняя страница сайта</t>
  </si>
  <si>
    <t>TC-001</t>
  </si>
  <si>
    <t>Нажать кнопку поиск</t>
  </si>
  <si>
    <t>Пользователь находится на странице с результатом поиска</t>
  </si>
  <si>
    <t>Функциональное: Поисковая строка</t>
  </si>
  <si>
    <t>Нажать на поле Поиск</t>
  </si>
  <si>
    <t>Курсор изменяется, показывая что элемент активный</t>
  </si>
  <si>
    <t>Поле принимает данные без ошибок валидации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</si>
  <si>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</si>
  <si>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</si>
  <si>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</si>
  <si>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</si>
  <si>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</si>
  <si>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</si>
  <si>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</si>
  <si>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</si>
  <si>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</si>
  <si>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</si>
  <si>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</si>
  <si>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</si>
  <si>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</si>
  <si>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</si>
  <si>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Поисковая строка: Пустой поисковый запрос</t>
  </si>
  <si>
    <t>Поисковая строка: Поиск только из пробелов</t>
  </si>
  <si>
    <t>Поисковая строка: Поиск с запросом из одного символа</t>
  </si>
  <si>
    <t>Поисковая строка: Поиск с максимально длинным запросом</t>
  </si>
  <si>
    <t>Поисковая строка: Поиск с верхним регистром</t>
  </si>
  <si>
    <t>Поисковая строка: Проверка отображения результатов поиска</t>
  </si>
  <si>
    <t>Оставить поле пустым</t>
  </si>
  <si>
    <t>Поле остаётся пустым</t>
  </si>
  <si>
    <t>Ввести в поисковую строку: (несколько пробелов)</t>
  </si>
  <si>
    <t>Поле принимает данные, пробелы отображаются</t>
  </si>
  <si>
    <t>Поле принимает данные без выполнения скрипта</t>
  </si>
  <si>
    <t>Ввести в поисковую строку: (100+ символов)</t>
  </si>
  <si>
    <t>Поле принимает данные в пределах допустимой длины</t>
  </si>
  <si>
    <t>Выполнить успешный поиск</t>
  </si>
  <si>
    <t>Отображается страница с результатами</t>
  </si>
  <si>
    <t>Ввести в поисковую строку: "&lt;script&gt;alert(1)&lt;/script&gt;"</t>
  </si>
  <si>
    <t>Система корректно обрабатывает запрос, ошибка сервера не возникает</t>
  </si>
  <si>
    <t>Название отображается корректно</t>
  </si>
  <si>
    <t>BR-001</t>
  </si>
  <si>
    <t>Major</t>
  </si>
  <si>
    <t>Windows 10/ Yandex Версия
26.8.2.1064 (64-bit)</t>
  </si>
  <si>
    <t>False</t>
  </si>
  <si>
    <t>Medium</t>
  </si>
  <si>
    <t>Поисковая строка: Поиск со специальными символами (XSS/SQL-инъекции)</t>
  </si>
  <si>
    <t>Система выполняет поиск или показывает сообщение о минимальной длине запроса</t>
  </si>
  <si>
    <t>Поисковая строка: Поиск с неправильной раскладкой</t>
  </si>
  <si>
    <t>TC-016</t>
  </si>
  <si>
    <t>Поисковая строка: Проверка автодополнения/подсказок</t>
  </si>
  <si>
    <t>Подождать 1-2 секунды</t>
  </si>
  <si>
    <t>Low</t>
  </si>
  <si>
    <t>High</t>
  </si>
  <si>
    <t>Система не отправляет форму</t>
  </si>
  <si>
    <t>Поисковая строка: Поиск по частичному названию (3–5 букв)</t>
  </si>
  <si>
    <t>Поисковая строка: Обработка опечаток в словах</t>
  </si>
  <si>
    <t>Система выдала страницу с сообщением «По вашему запросу ничего не найдено»</t>
  </si>
  <si>
    <t>Система выдала страницу с результатами, идентичными поиску в нижнем регистре</t>
  </si>
  <si>
    <t>BR-002</t>
  </si>
  <si>
    <t>Поисковая строка:  Поиск по полному названию компании</t>
  </si>
  <si>
    <t>Ввести в поисковую строку: Юничел</t>
  </si>
  <si>
    <t>Система выдала страницу с результатами, содержащими компанию «Юничел»</t>
  </si>
  <si>
    <t>Ввести в поисковую строку: Стом</t>
  </si>
  <si>
    <t>Система выдала страницу с компаниями, содержащими подстроку «Стом»</t>
  </si>
  <si>
    <t>Поисковая строка: Поиск по категории услуг</t>
  </si>
  <si>
    <t>Ввести в поисковую строку: Обувь</t>
  </si>
  <si>
    <t>Система выдала страницу с магазинами категории «Обувь»</t>
  </si>
  <si>
    <t>Поисковая строка: Поиск по району или метро (локация)</t>
  </si>
  <si>
    <t>Ввести в поисковую строку: Фрунзенская</t>
  </si>
  <si>
    <t>Система выдала страницу с компаниями в районе метро «Фрунзенская»</t>
  </si>
  <si>
    <t>Поисковая строка: Поиск по ключевому слову (услуга/товар)</t>
  </si>
  <si>
    <t>Ввести в поисковую строку: Лечение зубов</t>
  </si>
  <si>
    <t>Система выдала страницу с клиниками и ценами на лечение зубов</t>
  </si>
  <si>
    <t>Ввести в поисковую строку: Стомотология (с ошибкой)</t>
  </si>
  <si>
    <t>Система выдала релевантные результаты (стоматологии) или предложение «Возможно, вы имели в виду Стоматология»</t>
  </si>
  <si>
    <t>Поисковая строка:  Поиск несуществующей компании</t>
  </si>
  <si>
    <t>Ввести в поисковую строку: суперкомпания3000</t>
  </si>
  <si>
    <t>Ввести в поисковую строку: С</t>
  </si>
  <si>
    <t>Ввести в поисковую строку: ОБУВЬ</t>
  </si>
  <si>
    <t>Ввести в поисковую строку: J,otcm</t>
  </si>
  <si>
    <t>Система распознаёт раскладку и выдаёт результаты для «Обувь», либо предлагает исправление</t>
  </si>
  <si>
    <t>Проверить наличие названия компании</t>
  </si>
  <si>
    <t>Проверить наличие адреса</t>
  </si>
  <si>
    <t>Проверить наличие телефона</t>
  </si>
  <si>
    <t>Проверить ссылку на карточку компании</t>
  </si>
  <si>
    <t>Адрес отображается корректно</t>
  </si>
  <si>
    <t>Телефон отображается корректно</t>
  </si>
  <si>
    <t>Ссылка ведёт на страницу компании</t>
  </si>
  <si>
    <t>Начать вводить запрос: Стом</t>
  </si>
  <si>
    <t>Появляется выпадающий список с подсказками (например, «Стоматология», «Стоматология на Фрунзенской»)</t>
  </si>
  <si>
    <t>Система выдала 7 нерелевантных результатов — статьи про картодромы, иммерсивные шоу, печать фотографий. Никакой «суперкомпании3000» в выдаче нет</t>
  </si>
  <si>
    <t>Поиск по несуществующей компании «суперкомпания3000» выдаёт случайные статьи вместо «Ничего не найдено»</t>
  </si>
  <si>
    <t>https://prnt.sc/gQE8cdCJq-GE</t>
  </si>
  <si>
    <t>Система показала «Поиск по сайту временно не работает. Попробуйте повторить запрос позже»</t>
  </si>
  <si>
    <t>https://prnt.sc/YjIFQwaS7U2f</t>
  </si>
  <si>
    <t>Система выдала 8 нерелевантных результатов (клатч, жалюзи, костюмы, книжные магазины). Магазинов обуви в выдаче нет. Раскладка не распознана</t>
  </si>
  <si>
    <t>BR-003</t>
  </si>
  <si>
    <t>Поиск не распознаёт неправильную раскладку и не предлагает исправление</t>
  </si>
  <si>
    <t>BR-004</t>
  </si>
  <si>
    <t>Скрипт выполнился — появилось всплывающее окно alert с текстом «1». Система уязвима к XSS</t>
  </si>
  <si>
    <t>XSS-уязвимость: скрипт из поисковой строки выполняется на странице</t>
  </si>
  <si>
    <t>Система не выполняет скрипт, показывает «Ничего не найдено» или корректно обрабатывает запрос</t>
  </si>
  <si>
    <t>https://prnt.sc/YcqJem6UnBd5</t>
  </si>
  <si>
    <t>Critical</t>
  </si>
  <si>
    <t>Поиск по пробелам выдаёт "Поиск временно не работает"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</si>
</sst>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scheme val="minor"/>
    </font>
    <font>
      <b/>
      <sz val="12"/>
      <name val="Times New Roman"/>
      <family val="1"/>
      <charset val="204"/>
    </font>
    <font>
      <u/>
      <sz val="11"/>
      <name val="Calibri"/>
      <family val="2"/>
      <scheme val="minor"/>
    </font>
    <font>
      <sz val="12"/>
      <name val="Times New Roman"/>
      <family val="1"/>
      <charset val="204"/>
    </font>
    <font>
      <sz val="12"/>
      <name val="Calibri"/>
      <family val="2"/>
      <scheme val="minor"/>
    </font>
    <font>
      <sz val="12"/>
      <name val="Calibri"/>
      <family val="2"/>
      <charset val="204"/>
      <scheme val="minor"/>
    </font>
    <font>
      <sz val="1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6" fillId="4" borderId="2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3" fillId="0" borderId="22" xfId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3" fillId="0" borderId="22" xfId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6" zoomScale="70" zoomScaleNormal="70" workbookViewId="0">
      <selection activeCell="L32" sqref="L32"/>
    </sheetView>
  </sheetViews>
  <sheetFormatPr defaultRowHeight="15" x14ac:dyDescent="0.25"/>
  <cols>
    <col min="1" max="7" width="20.7109375" customWidth="1"/>
  </cols>
  <sheetData>
    <row r="1" spans="1:7" ht="48" thickBot="1" x14ac:dyDescent="0.3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ht="122.25" customHeight="1" x14ac:dyDescent="0.25">
      <c r="A2" s="29" t="s">
        <v>25</v>
      </c>
      <c r="B2" s="32" t="s">
        <v>83</v>
      </c>
      <c r="C2" s="32" t="s">
        <v>24</v>
      </c>
      <c r="D2" s="12" t="s">
        <v>29</v>
      </c>
      <c r="E2" s="12" t="s">
        <v>30</v>
      </c>
      <c r="F2" s="32" t="s">
        <v>27</v>
      </c>
      <c r="G2" s="35" t="s">
        <v>76</v>
      </c>
    </row>
    <row r="3" spans="1:7" ht="95.25" customHeight="1" x14ac:dyDescent="0.25">
      <c r="A3" s="30"/>
      <c r="B3" s="33"/>
      <c r="C3" s="33"/>
      <c r="D3" s="13" t="s">
        <v>84</v>
      </c>
      <c r="E3" s="13" t="s">
        <v>31</v>
      </c>
      <c r="F3" s="33"/>
      <c r="G3" s="36"/>
    </row>
    <row r="4" spans="1:7" ht="188.25" customHeight="1" thickBot="1" x14ac:dyDescent="0.3">
      <c r="A4" s="31"/>
      <c r="B4" s="34"/>
      <c r="C4" s="34"/>
      <c r="D4" s="14" t="s">
        <v>26</v>
      </c>
      <c r="E4" s="15" t="s">
        <v>85</v>
      </c>
      <c r="F4" s="34"/>
      <c r="G4" s="37"/>
    </row>
    <row r="5" spans="1:7" ht="75.75" customHeight="1" x14ac:dyDescent="0.25">
      <c r="A5" s="29" t="s">
        <v>32</v>
      </c>
      <c r="B5" s="32" t="s">
        <v>78</v>
      </c>
      <c r="C5" s="32" t="s">
        <v>24</v>
      </c>
      <c r="D5" s="12" t="s">
        <v>29</v>
      </c>
      <c r="E5" s="12" t="s">
        <v>30</v>
      </c>
      <c r="F5" s="32" t="s">
        <v>27</v>
      </c>
      <c r="G5" s="35" t="s">
        <v>76</v>
      </c>
    </row>
    <row r="6" spans="1:7" ht="153" customHeight="1" x14ac:dyDescent="0.25">
      <c r="A6" s="30"/>
      <c r="B6" s="33"/>
      <c r="C6" s="33"/>
      <c r="D6" s="13" t="s">
        <v>86</v>
      </c>
      <c r="E6" s="13" t="s">
        <v>31</v>
      </c>
      <c r="F6" s="33"/>
      <c r="G6" s="36"/>
    </row>
    <row r="7" spans="1:7" ht="120" customHeight="1" thickBot="1" x14ac:dyDescent="0.3">
      <c r="A7" s="31"/>
      <c r="B7" s="34"/>
      <c r="C7" s="34"/>
      <c r="D7" s="14" t="s">
        <v>26</v>
      </c>
      <c r="E7" s="15" t="s">
        <v>87</v>
      </c>
      <c r="F7" s="34"/>
      <c r="G7" s="37"/>
    </row>
    <row r="8" spans="1:7" ht="83.25" customHeight="1" x14ac:dyDescent="0.25">
      <c r="A8" s="29" t="s">
        <v>33</v>
      </c>
      <c r="B8" s="32" t="s">
        <v>88</v>
      </c>
      <c r="C8" s="32" t="s">
        <v>24</v>
      </c>
      <c r="D8" s="12" t="s">
        <v>29</v>
      </c>
      <c r="E8" s="12" t="s">
        <v>30</v>
      </c>
      <c r="F8" s="32" t="s">
        <v>27</v>
      </c>
      <c r="G8" s="35" t="s">
        <v>76</v>
      </c>
    </row>
    <row r="9" spans="1:7" ht="138" customHeight="1" x14ac:dyDescent="0.25">
      <c r="A9" s="30"/>
      <c r="B9" s="33"/>
      <c r="C9" s="33"/>
      <c r="D9" s="13" t="s">
        <v>89</v>
      </c>
      <c r="E9" s="13" t="s">
        <v>31</v>
      </c>
      <c r="F9" s="33"/>
      <c r="G9" s="36"/>
    </row>
    <row r="10" spans="1:7" ht="149.25" customHeight="1" thickBot="1" x14ac:dyDescent="0.3">
      <c r="A10" s="31"/>
      <c r="B10" s="34"/>
      <c r="C10" s="34"/>
      <c r="D10" s="14" t="s">
        <v>26</v>
      </c>
      <c r="E10" s="15" t="s">
        <v>90</v>
      </c>
      <c r="F10" s="34"/>
      <c r="G10" s="37"/>
    </row>
    <row r="11" spans="1:7" ht="92.25" customHeight="1" x14ac:dyDescent="0.25">
      <c r="A11" s="29" t="s">
        <v>34</v>
      </c>
      <c r="B11" s="32" t="s">
        <v>91</v>
      </c>
      <c r="C11" s="32" t="s">
        <v>24</v>
      </c>
      <c r="D11" s="12" t="s">
        <v>29</v>
      </c>
      <c r="E11" s="12" t="s">
        <v>30</v>
      </c>
      <c r="F11" s="32" t="s">
        <v>27</v>
      </c>
      <c r="G11" s="35" t="s">
        <v>68</v>
      </c>
    </row>
    <row r="12" spans="1:7" ht="95.25" customHeight="1" x14ac:dyDescent="0.25">
      <c r="A12" s="30"/>
      <c r="B12" s="33"/>
      <c r="C12" s="33"/>
      <c r="D12" s="13" t="s">
        <v>92</v>
      </c>
      <c r="E12" s="13" t="s">
        <v>31</v>
      </c>
      <c r="F12" s="33"/>
      <c r="G12" s="36"/>
    </row>
    <row r="13" spans="1:7" ht="90" customHeight="1" thickBot="1" x14ac:dyDescent="0.3">
      <c r="A13" s="31"/>
      <c r="B13" s="34"/>
      <c r="C13" s="34"/>
      <c r="D13" s="14" t="s">
        <v>26</v>
      </c>
      <c r="E13" s="15" t="s">
        <v>93</v>
      </c>
      <c r="F13" s="34"/>
      <c r="G13" s="36"/>
    </row>
    <row r="14" spans="1:7" ht="83.25" customHeight="1" x14ac:dyDescent="0.25">
      <c r="A14" s="29" t="s">
        <v>35</v>
      </c>
      <c r="B14" s="32" t="s">
        <v>94</v>
      </c>
      <c r="C14" s="32" t="s">
        <v>24</v>
      </c>
      <c r="D14" s="12" t="s">
        <v>29</v>
      </c>
      <c r="E14" s="12" t="s">
        <v>30</v>
      </c>
      <c r="F14" s="32" t="s">
        <v>27</v>
      </c>
      <c r="G14" s="35" t="s">
        <v>68</v>
      </c>
    </row>
    <row r="15" spans="1:7" ht="97.5" customHeight="1" x14ac:dyDescent="0.25">
      <c r="A15" s="30"/>
      <c r="B15" s="33"/>
      <c r="C15" s="33"/>
      <c r="D15" s="13" t="s">
        <v>95</v>
      </c>
      <c r="E15" s="13" t="s">
        <v>31</v>
      </c>
      <c r="F15" s="33"/>
      <c r="G15" s="36"/>
    </row>
    <row r="16" spans="1:7" ht="81" customHeight="1" thickBot="1" x14ac:dyDescent="0.3">
      <c r="A16" s="30"/>
      <c r="B16" s="33"/>
      <c r="C16" s="33"/>
      <c r="D16" s="17" t="s">
        <v>26</v>
      </c>
      <c r="E16" s="17" t="s">
        <v>96</v>
      </c>
      <c r="F16" s="33"/>
      <c r="G16" s="36"/>
    </row>
    <row r="17" spans="1:7" ht="67.5" customHeight="1" x14ac:dyDescent="0.25">
      <c r="A17" s="29" t="s">
        <v>36</v>
      </c>
      <c r="B17" s="32" t="s">
        <v>79</v>
      </c>
      <c r="C17" s="32" t="s">
        <v>24</v>
      </c>
      <c r="D17" s="12" t="s">
        <v>29</v>
      </c>
      <c r="E17" s="12" t="s">
        <v>30</v>
      </c>
      <c r="F17" s="32" t="s">
        <v>27</v>
      </c>
      <c r="G17" s="35" t="s">
        <v>68</v>
      </c>
    </row>
    <row r="18" spans="1:7" ht="75" customHeight="1" x14ac:dyDescent="0.25">
      <c r="A18" s="30"/>
      <c r="B18" s="33"/>
      <c r="C18" s="33"/>
      <c r="D18" s="13" t="s">
        <v>97</v>
      </c>
      <c r="E18" s="13" t="s">
        <v>31</v>
      </c>
      <c r="F18" s="33"/>
      <c r="G18" s="36"/>
    </row>
    <row r="19" spans="1:7" ht="160.5" customHeight="1" thickBot="1" x14ac:dyDescent="0.3">
      <c r="A19" s="31"/>
      <c r="B19" s="34"/>
      <c r="C19" s="34"/>
      <c r="D19" s="14" t="s">
        <v>26</v>
      </c>
      <c r="E19" s="15" t="s">
        <v>98</v>
      </c>
      <c r="F19" s="34"/>
      <c r="G19" s="37"/>
    </row>
    <row r="20" spans="1:7" ht="60" customHeight="1" x14ac:dyDescent="0.25">
      <c r="A20" s="29" t="s">
        <v>37</v>
      </c>
      <c r="B20" s="32" t="s">
        <v>99</v>
      </c>
      <c r="C20" s="32" t="s">
        <v>24</v>
      </c>
      <c r="D20" s="12" t="s">
        <v>29</v>
      </c>
      <c r="E20" s="12" t="s">
        <v>30</v>
      </c>
      <c r="F20" s="32" t="s">
        <v>27</v>
      </c>
      <c r="G20" s="35" t="s">
        <v>76</v>
      </c>
    </row>
    <row r="21" spans="1:7" ht="71.25" customHeight="1" x14ac:dyDescent="0.25">
      <c r="A21" s="30"/>
      <c r="B21" s="33"/>
      <c r="C21" s="33"/>
      <c r="D21" s="13" t="s">
        <v>100</v>
      </c>
      <c r="E21" s="13" t="s">
        <v>31</v>
      </c>
      <c r="F21" s="33"/>
      <c r="G21" s="36"/>
    </row>
    <row r="22" spans="1:7" ht="126" customHeight="1" thickBot="1" x14ac:dyDescent="0.3">
      <c r="A22" s="31"/>
      <c r="B22" s="34"/>
      <c r="C22" s="34"/>
      <c r="D22" s="14" t="s">
        <v>26</v>
      </c>
      <c r="E22" s="15" t="s">
        <v>80</v>
      </c>
      <c r="F22" s="34"/>
      <c r="G22" s="37"/>
    </row>
    <row r="23" spans="1:7" ht="63" x14ac:dyDescent="0.25">
      <c r="A23" s="29" t="s">
        <v>38</v>
      </c>
      <c r="B23" s="32" t="s">
        <v>46</v>
      </c>
      <c r="C23" s="32" t="s">
        <v>24</v>
      </c>
      <c r="D23" s="12" t="s">
        <v>29</v>
      </c>
      <c r="E23" s="12" t="s">
        <v>30</v>
      </c>
      <c r="F23" s="32" t="s">
        <v>27</v>
      </c>
      <c r="G23" s="35" t="s">
        <v>76</v>
      </c>
    </row>
    <row r="24" spans="1:7" ht="47.25" customHeight="1" x14ac:dyDescent="0.25">
      <c r="A24" s="30"/>
      <c r="B24" s="33"/>
      <c r="C24" s="33"/>
      <c r="D24" s="13" t="s">
        <v>52</v>
      </c>
      <c r="E24" s="13" t="s">
        <v>53</v>
      </c>
      <c r="F24" s="33"/>
      <c r="G24" s="36"/>
    </row>
    <row r="25" spans="1:7" ht="32.25" thickBot="1" x14ac:dyDescent="0.3">
      <c r="A25" s="31"/>
      <c r="B25" s="34"/>
      <c r="C25" s="34"/>
      <c r="D25" s="14" t="s">
        <v>26</v>
      </c>
      <c r="E25" s="15" t="s">
        <v>77</v>
      </c>
      <c r="F25" s="34"/>
      <c r="G25" s="37"/>
    </row>
    <row r="26" spans="1:7" ht="49.5" customHeight="1" x14ac:dyDescent="0.25">
      <c r="A26" s="29" t="s">
        <v>39</v>
      </c>
      <c r="B26" s="32" t="s">
        <v>47</v>
      </c>
      <c r="C26" s="32" t="s">
        <v>24</v>
      </c>
      <c r="D26" s="12" t="s">
        <v>29</v>
      </c>
      <c r="E26" s="12" t="s">
        <v>30</v>
      </c>
      <c r="F26" s="32" t="s">
        <v>27</v>
      </c>
      <c r="G26" s="35" t="s">
        <v>76</v>
      </c>
    </row>
    <row r="27" spans="1:7" ht="75" customHeight="1" x14ac:dyDescent="0.25">
      <c r="A27" s="30"/>
      <c r="B27" s="33"/>
      <c r="C27" s="33"/>
      <c r="D27" s="13" t="s">
        <v>54</v>
      </c>
      <c r="E27" s="13" t="s">
        <v>55</v>
      </c>
      <c r="F27" s="33"/>
      <c r="G27" s="36"/>
    </row>
    <row r="28" spans="1:7" ht="103.5" customHeight="1" thickBot="1" x14ac:dyDescent="0.3">
      <c r="A28" s="31"/>
      <c r="B28" s="34"/>
      <c r="C28" s="34"/>
      <c r="D28" s="14" t="s">
        <v>26</v>
      </c>
      <c r="E28" s="15" t="s">
        <v>77</v>
      </c>
      <c r="F28" s="34"/>
      <c r="G28" s="37"/>
    </row>
    <row r="29" spans="1:7" ht="63" x14ac:dyDescent="0.25">
      <c r="A29" s="29" t="s">
        <v>40</v>
      </c>
      <c r="B29" s="32" t="s">
        <v>69</v>
      </c>
      <c r="C29" s="32" t="s">
        <v>24</v>
      </c>
      <c r="D29" s="12" t="s">
        <v>29</v>
      </c>
      <c r="E29" s="12" t="s">
        <v>30</v>
      </c>
      <c r="F29" s="32" t="s">
        <v>27</v>
      </c>
      <c r="G29" s="35" t="s">
        <v>76</v>
      </c>
    </row>
    <row r="30" spans="1:7" ht="62.25" customHeight="1" x14ac:dyDescent="0.25">
      <c r="A30" s="30"/>
      <c r="B30" s="33"/>
      <c r="C30" s="33"/>
      <c r="D30" s="16" t="s">
        <v>61</v>
      </c>
      <c r="E30" s="13" t="s">
        <v>56</v>
      </c>
      <c r="F30" s="33"/>
      <c r="G30" s="36"/>
    </row>
    <row r="31" spans="1:7" ht="127.5" customHeight="1" thickBot="1" x14ac:dyDescent="0.3">
      <c r="A31" s="31"/>
      <c r="B31" s="34"/>
      <c r="C31" s="34"/>
      <c r="D31" s="14" t="s">
        <v>26</v>
      </c>
      <c r="E31" s="15" t="s">
        <v>77</v>
      </c>
      <c r="F31" s="34"/>
      <c r="G31" s="37"/>
    </row>
    <row r="32" spans="1:7" ht="88.5" customHeight="1" x14ac:dyDescent="0.25">
      <c r="A32" s="29" t="s">
        <v>41</v>
      </c>
      <c r="B32" s="32" t="s">
        <v>48</v>
      </c>
      <c r="C32" s="32" t="s">
        <v>24</v>
      </c>
      <c r="D32" s="12" t="s">
        <v>29</v>
      </c>
      <c r="E32" s="12" t="s">
        <v>30</v>
      </c>
      <c r="F32" s="32" t="s">
        <v>27</v>
      </c>
      <c r="G32" s="35" t="s">
        <v>68</v>
      </c>
    </row>
    <row r="33" spans="1:7" ht="107.25" customHeight="1" x14ac:dyDescent="0.25">
      <c r="A33" s="30"/>
      <c r="B33" s="33"/>
      <c r="C33" s="33"/>
      <c r="D33" s="13" t="s">
        <v>101</v>
      </c>
      <c r="E33" s="13" t="s">
        <v>31</v>
      </c>
      <c r="F33" s="33"/>
      <c r="G33" s="36"/>
    </row>
    <row r="34" spans="1:7" ht="104.25" customHeight="1" thickBot="1" x14ac:dyDescent="0.3">
      <c r="A34" s="31"/>
      <c r="B34" s="34"/>
      <c r="C34" s="34"/>
      <c r="D34" s="14" t="s">
        <v>26</v>
      </c>
      <c r="E34" s="15" t="s">
        <v>70</v>
      </c>
      <c r="F34" s="34"/>
      <c r="G34" s="37"/>
    </row>
    <row r="35" spans="1:7" ht="30" customHeight="1" x14ac:dyDescent="0.25">
      <c r="A35" s="29" t="s">
        <v>42</v>
      </c>
      <c r="B35" s="32" t="s">
        <v>49</v>
      </c>
      <c r="C35" s="32" t="s">
        <v>24</v>
      </c>
      <c r="D35" s="12" t="s">
        <v>29</v>
      </c>
      <c r="E35" s="12" t="s">
        <v>30</v>
      </c>
      <c r="F35" s="32" t="s">
        <v>27</v>
      </c>
      <c r="G35" s="35" t="s">
        <v>68</v>
      </c>
    </row>
    <row r="36" spans="1:7" ht="76.5" customHeight="1" x14ac:dyDescent="0.25">
      <c r="A36" s="30"/>
      <c r="B36" s="33"/>
      <c r="C36" s="33"/>
      <c r="D36" s="13" t="s">
        <v>57</v>
      </c>
      <c r="E36" s="13" t="s">
        <v>58</v>
      </c>
      <c r="F36" s="33"/>
      <c r="G36" s="36"/>
    </row>
    <row r="37" spans="1:7" ht="97.5" customHeight="1" thickBot="1" x14ac:dyDescent="0.3">
      <c r="A37" s="31"/>
      <c r="B37" s="34"/>
      <c r="C37" s="34"/>
      <c r="D37" s="14" t="s">
        <v>26</v>
      </c>
      <c r="E37" s="15" t="s">
        <v>62</v>
      </c>
      <c r="F37" s="34"/>
      <c r="G37" s="37"/>
    </row>
    <row r="38" spans="1:7" ht="47.25" customHeight="1" x14ac:dyDescent="0.25">
      <c r="A38" s="29" t="s">
        <v>43</v>
      </c>
      <c r="B38" s="32" t="s">
        <v>50</v>
      </c>
      <c r="C38" s="32" t="s">
        <v>24</v>
      </c>
      <c r="D38" s="12" t="s">
        <v>29</v>
      </c>
      <c r="E38" s="12" t="s">
        <v>30</v>
      </c>
      <c r="F38" s="32" t="s">
        <v>27</v>
      </c>
      <c r="G38" s="35" t="s">
        <v>76</v>
      </c>
    </row>
    <row r="39" spans="1:7" ht="47.25" x14ac:dyDescent="0.25">
      <c r="A39" s="30"/>
      <c r="B39" s="33"/>
      <c r="C39" s="33"/>
      <c r="D39" s="13" t="s">
        <v>102</v>
      </c>
      <c r="E39" s="13" t="s">
        <v>31</v>
      </c>
      <c r="F39" s="33"/>
      <c r="G39" s="36"/>
    </row>
    <row r="40" spans="1:7" ht="117.75" customHeight="1" thickBot="1" x14ac:dyDescent="0.3">
      <c r="A40" s="31"/>
      <c r="B40" s="34"/>
      <c r="C40" s="34"/>
      <c r="D40" s="14" t="s">
        <v>26</v>
      </c>
      <c r="E40" s="15" t="s">
        <v>81</v>
      </c>
      <c r="F40" s="34"/>
      <c r="G40" s="37"/>
    </row>
    <row r="41" spans="1:7" ht="48.75" customHeight="1" x14ac:dyDescent="0.25">
      <c r="A41" s="29" t="s">
        <v>44</v>
      </c>
      <c r="B41" s="32" t="s">
        <v>71</v>
      </c>
      <c r="C41" s="32" t="s">
        <v>24</v>
      </c>
      <c r="D41" s="12" t="s">
        <v>29</v>
      </c>
      <c r="E41" s="12" t="s">
        <v>30</v>
      </c>
      <c r="F41" s="32" t="s">
        <v>27</v>
      </c>
      <c r="G41" s="35" t="s">
        <v>68</v>
      </c>
    </row>
    <row r="42" spans="1:7" ht="60" customHeight="1" x14ac:dyDescent="0.25">
      <c r="A42" s="30"/>
      <c r="B42" s="33"/>
      <c r="C42" s="33"/>
      <c r="D42" s="13" t="s">
        <v>103</v>
      </c>
      <c r="E42" s="13" t="s">
        <v>31</v>
      </c>
      <c r="F42" s="33"/>
      <c r="G42" s="36"/>
    </row>
    <row r="43" spans="1:7" ht="97.5" customHeight="1" thickBot="1" x14ac:dyDescent="0.3">
      <c r="A43" s="30"/>
      <c r="B43" s="33"/>
      <c r="C43" s="33"/>
      <c r="D43" s="17" t="s">
        <v>26</v>
      </c>
      <c r="E43" s="17" t="s">
        <v>104</v>
      </c>
      <c r="F43" s="33"/>
      <c r="G43" s="36"/>
    </row>
    <row r="44" spans="1:7" ht="64.5" customHeight="1" x14ac:dyDescent="0.25">
      <c r="A44" s="29" t="s">
        <v>45</v>
      </c>
      <c r="B44" s="32" t="s">
        <v>51</v>
      </c>
      <c r="C44" s="32" t="s">
        <v>24</v>
      </c>
      <c r="D44" s="12" t="s">
        <v>59</v>
      </c>
      <c r="E44" s="12" t="s">
        <v>60</v>
      </c>
      <c r="F44" s="32" t="s">
        <v>27</v>
      </c>
      <c r="G44" s="35" t="s">
        <v>76</v>
      </c>
    </row>
    <row r="45" spans="1:7" ht="64.5" customHeight="1" x14ac:dyDescent="0.25">
      <c r="A45" s="30"/>
      <c r="B45" s="33"/>
      <c r="C45" s="33"/>
      <c r="D45" s="13" t="s">
        <v>105</v>
      </c>
      <c r="E45" s="13" t="s">
        <v>63</v>
      </c>
      <c r="F45" s="33"/>
      <c r="G45" s="36"/>
    </row>
    <row r="46" spans="1:7" ht="64.5" customHeight="1" x14ac:dyDescent="0.25">
      <c r="A46" s="30"/>
      <c r="B46" s="33"/>
      <c r="C46" s="33"/>
      <c r="D46" s="13" t="s">
        <v>106</v>
      </c>
      <c r="E46" s="13" t="s">
        <v>109</v>
      </c>
      <c r="F46" s="33"/>
      <c r="G46" s="36"/>
    </row>
    <row r="47" spans="1:7" ht="90" customHeight="1" x14ac:dyDescent="0.25">
      <c r="A47" s="30"/>
      <c r="B47" s="33"/>
      <c r="C47" s="33"/>
      <c r="D47" s="13" t="s">
        <v>107</v>
      </c>
      <c r="E47" s="18" t="s">
        <v>110</v>
      </c>
      <c r="F47" s="33"/>
      <c r="G47" s="36"/>
    </row>
    <row r="48" spans="1:7" ht="59.25" customHeight="1" thickBot="1" x14ac:dyDescent="0.3">
      <c r="A48" s="30"/>
      <c r="B48" s="33"/>
      <c r="C48" s="33"/>
      <c r="D48" s="18" t="s">
        <v>108</v>
      </c>
      <c r="E48" s="18" t="s">
        <v>111</v>
      </c>
      <c r="F48" s="33"/>
      <c r="G48" s="36"/>
    </row>
    <row r="49" spans="1:7" ht="66.75" customHeight="1" x14ac:dyDescent="0.25">
      <c r="A49" s="29" t="s">
        <v>72</v>
      </c>
      <c r="B49" s="32" t="s">
        <v>73</v>
      </c>
      <c r="C49" s="32" t="s">
        <v>24</v>
      </c>
      <c r="D49" s="12" t="s">
        <v>29</v>
      </c>
      <c r="E49" s="12" t="s">
        <v>30</v>
      </c>
      <c r="F49" s="32" t="s">
        <v>27</v>
      </c>
      <c r="G49" s="35" t="s">
        <v>75</v>
      </c>
    </row>
    <row r="50" spans="1:7" ht="49.5" customHeight="1" x14ac:dyDescent="0.25">
      <c r="A50" s="30"/>
      <c r="B50" s="33"/>
      <c r="C50" s="33"/>
      <c r="D50" s="13" t="s">
        <v>112</v>
      </c>
      <c r="E50" s="13" t="s">
        <v>31</v>
      </c>
      <c r="F50" s="33"/>
      <c r="G50" s="36"/>
    </row>
    <row r="51" spans="1:7" ht="135" customHeight="1" thickBot="1" x14ac:dyDescent="0.3">
      <c r="A51" s="31"/>
      <c r="B51" s="34"/>
      <c r="C51" s="34"/>
      <c r="D51" s="14" t="s">
        <v>74</v>
      </c>
      <c r="E51" s="14" t="s">
        <v>113</v>
      </c>
      <c r="F51" s="34"/>
      <c r="G51" s="37"/>
    </row>
  </sheetData>
  <mergeCells count="80">
    <mergeCell ref="A5:A7"/>
    <mergeCell ref="B5:B7"/>
    <mergeCell ref="C5:C7"/>
    <mergeCell ref="F5:F7"/>
    <mergeCell ref="G5:G7"/>
    <mergeCell ref="A2:A4"/>
    <mergeCell ref="B2:B4"/>
    <mergeCell ref="C2:C4"/>
    <mergeCell ref="F2:F4"/>
    <mergeCell ref="G2:G4"/>
    <mergeCell ref="A11:A13"/>
    <mergeCell ref="B11:B13"/>
    <mergeCell ref="C11:C13"/>
    <mergeCell ref="F11:F13"/>
    <mergeCell ref="G11:G13"/>
    <mergeCell ref="A8:A10"/>
    <mergeCell ref="B8:B10"/>
    <mergeCell ref="C8:C10"/>
    <mergeCell ref="F8:F10"/>
    <mergeCell ref="G8:G10"/>
    <mergeCell ref="A17:A19"/>
    <mergeCell ref="B17:B19"/>
    <mergeCell ref="C17:C19"/>
    <mergeCell ref="F17:F19"/>
    <mergeCell ref="G17:G19"/>
    <mergeCell ref="A14:A16"/>
    <mergeCell ref="B14:B16"/>
    <mergeCell ref="C14:C16"/>
    <mergeCell ref="F14:F16"/>
    <mergeCell ref="G14:G16"/>
    <mergeCell ref="A23:A25"/>
    <mergeCell ref="B23:B25"/>
    <mergeCell ref="C23:C25"/>
    <mergeCell ref="F23:F25"/>
    <mergeCell ref="G23:G25"/>
    <mergeCell ref="A20:A22"/>
    <mergeCell ref="B20:B22"/>
    <mergeCell ref="C20:C22"/>
    <mergeCell ref="F20:F22"/>
    <mergeCell ref="G20:G22"/>
    <mergeCell ref="A29:A31"/>
    <mergeCell ref="B29:B31"/>
    <mergeCell ref="C29:C31"/>
    <mergeCell ref="F29:F31"/>
    <mergeCell ref="G29:G31"/>
    <mergeCell ref="A26:A28"/>
    <mergeCell ref="B26:B28"/>
    <mergeCell ref="C26:C28"/>
    <mergeCell ref="F26:F28"/>
    <mergeCell ref="G26:G28"/>
    <mergeCell ref="A35:A37"/>
    <mergeCell ref="B35:B37"/>
    <mergeCell ref="C35:C37"/>
    <mergeCell ref="F35:F37"/>
    <mergeCell ref="G35:G37"/>
    <mergeCell ref="A32:A34"/>
    <mergeCell ref="B32:B34"/>
    <mergeCell ref="C32:C34"/>
    <mergeCell ref="F32:F34"/>
    <mergeCell ref="G32:G34"/>
    <mergeCell ref="A41:A43"/>
    <mergeCell ref="B41:B43"/>
    <mergeCell ref="C41:C43"/>
    <mergeCell ref="F41:F43"/>
    <mergeCell ref="G41:G43"/>
    <mergeCell ref="A38:A40"/>
    <mergeCell ref="B38:B40"/>
    <mergeCell ref="C38:C40"/>
    <mergeCell ref="F38:F40"/>
    <mergeCell ref="G38:G40"/>
    <mergeCell ref="A44:A48"/>
    <mergeCell ref="B44:B48"/>
    <mergeCell ref="C44:C48"/>
    <mergeCell ref="F44:F48"/>
    <mergeCell ref="G44:G48"/>
    <mergeCell ref="A49:A51"/>
    <mergeCell ref="B49:B51"/>
    <mergeCell ref="C49:C51"/>
    <mergeCell ref="F49:F51"/>
    <mergeCell ref="G49:G5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990F-ED10-4C31-9F38-F9573209A0A0}">
  <dimension ref="A1:H17"/>
  <sheetViews>
    <sheetView tabSelected="1" topLeftCell="A10" workbookViewId="0">
      <selection activeCell="J12" sqref="J12"/>
    </sheetView>
  </sheetViews>
  <sheetFormatPr defaultRowHeight="15" x14ac:dyDescent="0.25"/>
  <cols>
    <col min="1" max="8" width="20.7109375" customWidth="1"/>
  </cols>
  <sheetData>
    <row r="1" spans="1:8" ht="30" x14ac:dyDescent="0.25">
      <c r="A1" s="1" t="s">
        <v>7</v>
      </c>
      <c r="B1" s="1" t="s">
        <v>8</v>
      </c>
      <c r="C1" s="1" t="s">
        <v>9</v>
      </c>
      <c r="D1" s="2" t="s">
        <v>10</v>
      </c>
      <c r="E1" s="2" t="s">
        <v>0</v>
      </c>
      <c r="F1" s="2" t="s">
        <v>11</v>
      </c>
      <c r="G1" s="2" t="s">
        <v>12</v>
      </c>
      <c r="H1" s="1" t="s">
        <v>13</v>
      </c>
    </row>
    <row r="2" spans="1:8" ht="21.75" customHeight="1" x14ac:dyDescent="0.25">
      <c r="A2" s="38" t="s">
        <v>14</v>
      </c>
      <c r="B2" s="47">
        <v>46299</v>
      </c>
      <c r="C2" s="44" t="s">
        <v>28</v>
      </c>
      <c r="D2" s="41" t="s">
        <v>15</v>
      </c>
      <c r="E2" s="3" t="str">
        <f>HYPERLINK("#'Test Cases'!A2", "TC-001")</f>
        <v>TC-001</v>
      </c>
      <c r="F2" s="4" t="s">
        <v>16</v>
      </c>
      <c r="G2" s="5"/>
      <c r="H2" s="3"/>
    </row>
    <row r="3" spans="1:8" ht="16.5" customHeight="1" x14ac:dyDescent="0.25">
      <c r="A3" s="39"/>
      <c r="B3" s="48"/>
      <c r="C3" s="45"/>
      <c r="D3" s="42"/>
      <c r="E3" s="3" t="str">
        <f>HYPERLINK("#'Test Cases'!A5", "TC-002")</f>
        <v>TC-002</v>
      </c>
      <c r="F3" s="4" t="s">
        <v>16</v>
      </c>
      <c r="G3" s="5"/>
      <c r="H3" s="3"/>
    </row>
    <row r="4" spans="1:8" ht="18.75" customHeight="1" x14ac:dyDescent="0.25">
      <c r="A4" s="39"/>
      <c r="B4" s="48"/>
      <c r="C4" s="45"/>
      <c r="D4" s="42"/>
      <c r="E4" s="3" t="str">
        <f>HYPERLINK("#'Test Cases'!A8", "TC-003")</f>
        <v>TC-003</v>
      </c>
      <c r="F4" s="4" t="s">
        <v>16</v>
      </c>
      <c r="G4" s="5"/>
      <c r="H4" s="3"/>
    </row>
    <row r="5" spans="1:8" ht="21.75" customHeight="1" x14ac:dyDescent="0.25">
      <c r="A5" s="39"/>
      <c r="B5" s="48"/>
      <c r="C5" s="45"/>
      <c r="D5" s="42"/>
      <c r="E5" s="3" t="str">
        <f>HYPERLINK("#'Test Cases'!A11", "TC-004")</f>
        <v>TC-004</v>
      </c>
      <c r="F5" s="4" t="s">
        <v>16</v>
      </c>
      <c r="G5" s="5"/>
      <c r="H5" s="3"/>
    </row>
    <row r="6" spans="1:8" ht="23.25" customHeight="1" thickBot="1" x14ac:dyDescent="0.3">
      <c r="A6" s="39"/>
      <c r="B6" s="48"/>
      <c r="C6" s="45"/>
      <c r="D6" s="42"/>
      <c r="E6" s="3" t="str">
        <f>HYPERLINK("#'Test Cases'!A14", "TC-005")</f>
        <v>TC-005</v>
      </c>
      <c r="F6" s="4" t="s">
        <v>16</v>
      </c>
      <c r="G6" s="5"/>
      <c r="H6" s="3"/>
    </row>
    <row r="7" spans="1:8" ht="18.75" customHeight="1" thickBot="1" x14ac:dyDescent="0.3">
      <c r="A7" s="39"/>
      <c r="B7" s="48"/>
      <c r="C7" s="45"/>
      <c r="D7" s="42"/>
      <c r="E7" s="3" t="str">
        <f>HYPERLINK("#'Test Cases'!A17", "TC-006")</f>
        <v>TC-006</v>
      </c>
      <c r="F7" s="4" t="s">
        <v>16</v>
      </c>
      <c r="G7" s="8"/>
      <c r="H7" s="3"/>
    </row>
    <row r="8" spans="1:8" ht="179.25" customHeight="1" x14ac:dyDescent="0.25">
      <c r="A8" s="39"/>
      <c r="B8" s="48"/>
      <c r="C8" s="45"/>
      <c r="D8" s="42"/>
      <c r="E8" s="9" t="str">
        <f>HYPERLINK("#'Test Cases'!A20", "TC-007")</f>
        <v>TC-007</v>
      </c>
      <c r="F8" s="7" t="s">
        <v>67</v>
      </c>
      <c r="G8" s="5" t="s">
        <v>114</v>
      </c>
      <c r="H8" s="3" t="str">
        <f>HYPERLINK("#'Bug Reports'!A2", "BR-001")</f>
        <v>BR-001</v>
      </c>
    </row>
    <row r="9" spans="1:8" ht="15" customHeight="1" x14ac:dyDescent="0.25">
      <c r="A9" s="39"/>
      <c r="B9" s="48"/>
      <c r="C9" s="45"/>
      <c r="D9" s="42"/>
      <c r="E9" s="3" t="str">
        <f>HYPERLINK("#'Test Cases'!A23", "TC-008")</f>
        <v>TC-008</v>
      </c>
      <c r="F9" s="4" t="s">
        <v>16</v>
      </c>
      <c r="G9" s="6"/>
      <c r="H9" s="6"/>
    </row>
    <row r="10" spans="1:8" ht="127.5" customHeight="1" x14ac:dyDescent="0.25">
      <c r="A10" s="39"/>
      <c r="B10" s="48"/>
      <c r="C10" s="45"/>
      <c r="D10" s="42"/>
      <c r="E10" s="3" t="str">
        <f>HYPERLINK("#'Test Cases'!A26", "TC-009")</f>
        <v>TC-009</v>
      </c>
      <c r="F10" s="7" t="s">
        <v>67</v>
      </c>
      <c r="G10" s="5" t="s">
        <v>117</v>
      </c>
      <c r="H10" s="3" t="str">
        <f>HYPERLINK("#'Bug Reports'!A3", "BR-002")</f>
        <v>BR-002</v>
      </c>
    </row>
    <row r="11" spans="1:8" ht="102.75" customHeight="1" x14ac:dyDescent="0.25">
      <c r="A11" s="39"/>
      <c r="B11" s="48"/>
      <c r="C11" s="45"/>
      <c r="D11" s="42"/>
      <c r="E11" s="28" t="str">
        <f>HYPERLINK("#'Test Cases'!A29", "TC-010")</f>
        <v>TC-010</v>
      </c>
      <c r="F11" s="7" t="s">
        <v>67</v>
      </c>
      <c r="G11" s="5" t="s">
        <v>123</v>
      </c>
      <c r="H11" s="3" t="str">
        <f>HYPERLINK("#'Bug Reports'!A5", "BR-004")</f>
        <v>BR-004</v>
      </c>
    </row>
    <row r="12" spans="1:8" ht="118.5" customHeight="1" x14ac:dyDescent="0.25">
      <c r="A12" s="39"/>
      <c r="B12" s="48"/>
      <c r="C12" s="45"/>
      <c r="D12" s="42"/>
      <c r="E12" s="3" t="str">
        <f>HYPERLINK("#'Test Cases'!A32", "TC-011")</f>
        <v>TC-011</v>
      </c>
      <c r="F12" s="4" t="s">
        <v>16</v>
      </c>
      <c r="G12" s="19"/>
      <c r="H12" s="3"/>
    </row>
    <row r="13" spans="1:8" ht="18" customHeight="1" x14ac:dyDescent="0.25">
      <c r="A13" s="39"/>
      <c r="B13" s="48"/>
      <c r="C13" s="45"/>
      <c r="D13" s="42"/>
      <c r="E13" s="3" t="str">
        <f>HYPERLINK("#'Test Cases'!A35", "TC-012")</f>
        <v>TC-012</v>
      </c>
      <c r="F13" s="4" t="s">
        <v>16</v>
      </c>
      <c r="G13" s="5"/>
      <c r="H13" s="3"/>
    </row>
    <row r="14" spans="1:8" x14ac:dyDescent="0.25">
      <c r="A14" s="39"/>
      <c r="B14" s="48"/>
      <c r="C14" s="45"/>
      <c r="D14" s="42"/>
      <c r="E14" s="3" t="str">
        <f>HYPERLINK("#'Test Cases'!A38", "TC-013")</f>
        <v>TC-013</v>
      </c>
      <c r="F14" s="4" t="s">
        <v>16</v>
      </c>
      <c r="G14" s="5"/>
      <c r="H14" s="6"/>
    </row>
    <row r="15" spans="1:8" ht="155.25" customHeight="1" x14ac:dyDescent="0.25">
      <c r="A15" s="39"/>
      <c r="B15" s="48"/>
      <c r="C15" s="45"/>
      <c r="D15" s="42"/>
      <c r="E15" s="3" t="str">
        <f>HYPERLINK("#'Test Cases'!A41", "TC-014")</f>
        <v>TC-014</v>
      </c>
      <c r="F15" s="7" t="s">
        <v>67</v>
      </c>
      <c r="G15" s="5" t="s">
        <v>119</v>
      </c>
      <c r="H15" s="3" t="str">
        <f>HYPERLINK("#'Bug Reports'!A4", "BR-003")</f>
        <v>BR-003</v>
      </c>
    </row>
    <row r="16" spans="1:8" ht="16.5" customHeight="1" x14ac:dyDescent="0.25">
      <c r="A16" s="39"/>
      <c r="B16" s="48"/>
      <c r="C16" s="45"/>
      <c r="D16" s="42"/>
      <c r="E16" s="3" t="str">
        <f>HYPERLINK("#'Test Cases'!A44", "TC-015")</f>
        <v>TC-015</v>
      </c>
      <c r="F16" s="4" t="s">
        <v>16</v>
      </c>
      <c r="G16" s="6"/>
      <c r="H16" s="6"/>
    </row>
    <row r="17" spans="1:8" ht="18" customHeight="1" x14ac:dyDescent="0.25">
      <c r="A17" s="40"/>
      <c r="B17" s="49"/>
      <c r="C17" s="46"/>
      <c r="D17" s="43"/>
      <c r="E17" s="3" t="str">
        <f>HYPERLINK("#'Test Cases'!A49", "TC-016")</f>
        <v>TC-016</v>
      </c>
      <c r="F17" s="4" t="s">
        <v>16</v>
      </c>
      <c r="G17" s="5"/>
      <c r="H17" s="3"/>
    </row>
  </sheetData>
  <mergeCells count="4">
    <mergeCell ref="A2:A17"/>
    <mergeCell ref="D2:D17"/>
    <mergeCell ref="C2:C17"/>
    <mergeCell ref="B2:B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96AA-C1B6-4DD4-A286-F8977A4E04C6}">
  <dimension ref="A1:M10"/>
  <sheetViews>
    <sheetView zoomScale="85" zoomScaleNormal="85" workbookViewId="0">
      <selection activeCell="B3" sqref="B3"/>
    </sheetView>
  </sheetViews>
  <sheetFormatPr defaultRowHeight="15" x14ac:dyDescent="0.25"/>
  <cols>
    <col min="1" max="13" width="20.7109375" customWidth="1"/>
  </cols>
  <sheetData>
    <row r="1" spans="1:13" ht="45" x14ac:dyDescent="0.25">
      <c r="A1" s="1" t="s">
        <v>13</v>
      </c>
      <c r="B1" s="1" t="s">
        <v>1</v>
      </c>
      <c r="C1" s="1" t="s">
        <v>17</v>
      </c>
      <c r="D1" s="2" t="s">
        <v>7</v>
      </c>
      <c r="E1" s="2" t="s">
        <v>2</v>
      </c>
      <c r="F1" s="2" t="s">
        <v>18</v>
      </c>
      <c r="G1" s="2" t="s">
        <v>4</v>
      </c>
      <c r="H1" s="1" t="s">
        <v>19</v>
      </c>
      <c r="I1" s="1" t="s">
        <v>20</v>
      </c>
      <c r="J1" s="1" t="s">
        <v>6</v>
      </c>
      <c r="K1" s="1" t="s">
        <v>21</v>
      </c>
      <c r="L1" s="2" t="s">
        <v>22</v>
      </c>
      <c r="M1" s="2" t="s">
        <v>23</v>
      </c>
    </row>
    <row r="2" spans="1:13" ht="135" customHeight="1" thickBot="1" x14ac:dyDescent="0.3">
      <c r="A2" s="21" t="s">
        <v>64</v>
      </c>
      <c r="B2" s="22" t="s">
        <v>115</v>
      </c>
      <c r="C2" s="9" t="str">
        <f>HYPERLINK("#'Test Cases'!A20", "TC-007")</f>
        <v>TC-007</v>
      </c>
      <c r="D2" s="23" t="str">
        <f t="shared" ref="D2:D5" si="0">HYPERLINK("#'Test Run'!A2", "TR-001")</f>
        <v>TR-001</v>
      </c>
      <c r="E2" s="24" t="s">
        <v>24</v>
      </c>
      <c r="F2" s="25" t="s">
        <v>26</v>
      </c>
      <c r="G2" s="15" t="s">
        <v>80</v>
      </c>
      <c r="H2" s="5" t="s">
        <v>114</v>
      </c>
      <c r="I2" s="20" t="s">
        <v>65</v>
      </c>
      <c r="J2" s="26" t="s">
        <v>76</v>
      </c>
      <c r="K2" s="22" t="s">
        <v>66</v>
      </c>
      <c r="L2" s="22" t="s">
        <v>116</v>
      </c>
      <c r="M2" s="27">
        <v>46299</v>
      </c>
    </row>
    <row r="3" spans="1:13" ht="168.75" customHeight="1" thickBot="1" x14ac:dyDescent="0.3">
      <c r="A3" s="21" t="s">
        <v>82</v>
      </c>
      <c r="B3" s="22" t="s">
        <v>128</v>
      </c>
      <c r="C3" s="3" t="str">
        <f>HYPERLINK("#'Test Cases'!A26", "TC-009")</f>
        <v>TC-009</v>
      </c>
      <c r="D3" s="23" t="str">
        <f t="shared" si="0"/>
        <v>TR-001</v>
      </c>
      <c r="E3" s="24" t="s">
        <v>24</v>
      </c>
      <c r="F3" s="25" t="s">
        <v>26</v>
      </c>
      <c r="G3" s="15" t="s">
        <v>77</v>
      </c>
      <c r="H3" s="5" t="s">
        <v>117</v>
      </c>
      <c r="I3" s="20" t="s">
        <v>65</v>
      </c>
      <c r="J3" s="26" t="s">
        <v>76</v>
      </c>
      <c r="K3" s="22" t="s">
        <v>66</v>
      </c>
      <c r="L3" s="22" t="s">
        <v>118</v>
      </c>
      <c r="M3" s="27">
        <v>46299</v>
      </c>
    </row>
    <row r="4" spans="1:13" ht="185.25" customHeight="1" thickBot="1" x14ac:dyDescent="0.3">
      <c r="A4" s="21" t="s">
        <v>120</v>
      </c>
      <c r="B4" s="22" t="s">
        <v>121</v>
      </c>
      <c r="C4" s="3" t="str">
        <f>HYPERLINK("#'Test Cases'!A41", "TC-014")</f>
        <v>TC-014</v>
      </c>
      <c r="D4" s="23" t="str">
        <f t="shared" si="0"/>
        <v>TR-001</v>
      </c>
      <c r="E4" s="24" t="s">
        <v>24</v>
      </c>
      <c r="F4" s="25" t="s">
        <v>26</v>
      </c>
      <c r="G4" s="17" t="s">
        <v>104</v>
      </c>
      <c r="H4" s="5" t="s">
        <v>119</v>
      </c>
      <c r="I4" s="20" t="s">
        <v>65</v>
      </c>
      <c r="J4" s="26" t="s">
        <v>76</v>
      </c>
      <c r="K4" s="22" t="s">
        <v>66</v>
      </c>
      <c r="L4" s="22" t="s">
        <v>118</v>
      </c>
      <c r="M4" s="27">
        <v>46299</v>
      </c>
    </row>
    <row r="5" spans="1:13" ht="153" customHeight="1" thickBot="1" x14ac:dyDescent="0.3">
      <c r="A5" s="21" t="s">
        <v>122</v>
      </c>
      <c r="B5" s="22" t="s">
        <v>124</v>
      </c>
      <c r="C5" s="28" t="str">
        <f>HYPERLINK("#'Test Cases'!A29", "TC-010")</f>
        <v>TC-010</v>
      </c>
      <c r="D5" s="23" t="str">
        <f t="shared" si="0"/>
        <v>TR-001</v>
      </c>
      <c r="E5" s="24" t="s">
        <v>24</v>
      </c>
      <c r="F5" s="25" t="s">
        <v>26</v>
      </c>
      <c r="G5" s="17" t="s">
        <v>125</v>
      </c>
      <c r="H5" s="5" t="s">
        <v>123</v>
      </c>
      <c r="I5" s="20" t="s">
        <v>127</v>
      </c>
      <c r="J5" s="26" t="s">
        <v>76</v>
      </c>
      <c r="K5" s="22" t="s">
        <v>66</v>
      </c>
      <c r="L5" s="22" t="s">
        <v>126</v>
      </c>
      <c r="M5" s="27">
        <v>46299</v>
      </c>
    </row>
    <row r="6" spans="1:13" ht="139.5" customHeight="1" x14ac:dyDescent="0.25"/>
    <row r="7" spans="1:13" ht="150.75" customHeight="1" x14ac:dyDescent="0.25"/>
    <row r="8" spans="1:13" ht="10.5" customHeight="1" x14ac:dyDescent="0.25"/>
    <row r="9" spans="1:13" ht="105.75" customHeight="1" x14ac:dyDescent="0.25"/>
    <row r="10" spans="1:13" ht="121.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2026-10-03T18:49:00Z</dcterms:modified>
</cp:coreProperties>
</file>